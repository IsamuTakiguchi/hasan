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228"/>
  <workbookPr codeName="ThisWorkbook" defaultThemeVersion="124226"/>
  <mc:AlternateContent xmlns:mc="http://schemas.openxmlformats.org/markup-compatibility/2006">
    <mc:Choice Requires="x15">
      <x15ac:absPath xmlns:x15ac="http://schemas.microsoft.com/office/spreadsheetml/2010/11/ac" url="C:\Users\fukui\Dropbox\運用と書式改訂2019\16_出版後修正\"/>
    </mc:Choice>
  </mc:AlternateContent>
  <xr:revisionPtr revIDLastSave="0" documentId="13_ncr:1_{5C8A7D09-075B-4B13-883A-8DEE85E7A699}" xr6:coauthVersionLast="45" xr6:coauthVersionMax="45" xr10:uidLastSave="{00000000-0000-0000-0000-000000000000}"/>
  <bookViews>
    <workbookView xWindow="28680" yWindow="-120" windowWidth="28110" windowHeight="16440" tabRatio="904" xr2:uid="{00000000-000D-0000-FFFF-FFFF00000000}"/>
  </bookViews>
  <sheets>
    <sheet name="218_総括表" sheetId="1" r:id="rId1"/>
    <sheet name="219_預貯金・積立金" sheetId="2" r:id="rId2"/>
    <sheet name="220_保険" sheetId="3" r:id="rId3"/>
    <sheet name="221_自動車" sheetId="4" r:id="rId4"/>
    <sheet name="222_敷金" sheetId="5" r:id="rId5"/>
    <sheet name="223_退職金" sheetId="6" r:id="rId6"/>
    <sheet name="224_過払金" sheetId="7" r:id="rId7"/>
    <sheet name="225_不動産" sheetId="8" r:id="rId8"/>
    <sheet name="226_有価証券" sheetId="9" r:id="rId9"/>
    <sheet name="227_手形・小切手" sheetId="10" r:id="rId10"/>
    <sheet name="228_売掛金" sheetId="11" r:id="rId11"/>
    <sheet name="229_貸付金" sheetId="12" r:id="rId12"/>
    <sheet name="230_在庫商品" sheetId="13" r:id="rId13"/>
    <sheet name="231_機械・工具類" sheetId="14" r:id="rId14"/>
    <sheet name="232_什器備品" sheetId="15" r:id="rId15"/>
    <sheet name="233_その他" sheetId="16" r:id="rId16"/>
    <sheet name="234_処分済財産" sheetId="17" r:id="rId17"/>
  </sheets>
  <definedNames>
    <definedName name="_xlnm.Print_Area" localSheetId="6">'224_過払金'!$A$1:$I$12</definedName>
    <definedName name="_xlnm.Print_Titles" localSheetId="1">'219_預貯金・積立金'!$1:$1</definedName>
    <definedName name="_xlnm.Print_Titles" localSheetId="2">'220_保険'!$1:$1</definedName>
    <definedName name="_xlnm.Print_Titles" localSheetId="3">'221_自動車'!$1:$1</definedName>
    <definedName name="_xlnm.Print_Titles" localSheetId="4">'222_敷金'!$1:$1</definedName>
    <definedName name="_xlnm.Print_Titles" localSheetId="5">'223_退職金'!$1:$1</definedName>
    <definedName name="_xlnm.Print_Titles" localSheetId="6">'224_過払金'!$1:$1</definedName>
    <definedName name="_xlnm.Print_Titles" localSheetId="7">'225_不動産'!$1:$1</definedName>
    <definedName name="_xlnm.Print_Titles" localSheetId="8">'226_有価証券'!$1:$1</definedName>
    <definedName name="_xlnm.Print_Titles" localSheetId="9">'227_手形・小切手'!$1:$1</definedName>
    <definedName name="_xlnm.Print_Titles" localSheetId="10">'228_売掛金'!$1:$1</definedName>
    <definedName name="_xlnm.Print_Titles" localSheetId="11">'229_貸付金'!$1:$1</definedName>
    <definedName name="_xlnm.Print_Titles" localSheetId="12">'230_在庫商品'!$1:$1</definedName>
    <definedName name="_xlnm.Print_Titles" localSheetId="13">'231_機械・工具類'!$1:$1</definedName>
    <definedName name="_xlnm.Print_Titles" localSheetId="14">'232_什器備品'!$1:$1</definedName>
    <definedName name="_xlnm.Print_Titles" localSheetId="15">'233_その他'!$1:$1</definedName>
    <definedName name="_xlnm.Print_Titles" localSheetId="16">'234_処分済財産'!$4:$4</definedName>
    <definedName name="Z_2ED08BFB_32F2_40DC_9FA0_3D6DF2CD2658_.wvu.Cols" localSheetId="0" hidden="1">'218_総括表'!$G:$G</definedName>
    <definedName name="Z_2ED08BFB_32F2_40DC_9FA0_3D6DF2CD2658_.wvu.PrintArea" localSheetId="6" hidden="1">'224_過払金'!$A$1:$I$12</definedName>
    <definedName name="Z_2ED08BFB_32F2_40DC_9FA0_3D6DF2CD2658_.wvu.PrintTitles" localSheetId="1" hidden="1">'219_預貯金・積立金'!$1:$1</definedName>
    <definedName name="Z_2ED08BFB_32F2_40DC_9FA0_3D6DF2CD2658_.wvu.PrintTitles" localSheetId="2" hidden="1">'220_保険'!$1:$1</definedName>
    <definedName name="Z_2ED08BFB_32F2_40DC_9FA0_3D6DF2CD2658_.wvu.PrintTitles" localSheetId="3" hidden="1">'221_自動車'!$1:$1</definedName>
    <definedName name="Z_2ED08BFB_32F2_40DC_9FA0_3D6DF2CD2658_.wvu.PrintTitles" localSheetId="4" hidden="1">'222_敷金'!$1:$1</definedName>
    <definedName name="Z_2ED08BFB_32F2_40DC_9FA0_3D6DF2CD2658_.wvu.PrintTitles" localSheetId="5" hidden="1">'223_退職金'!$1:$1</definedName>
    <definedName name="Z_2ED08BFB_32F2_40DC_9FA0_3D6DF2CD2658_.wvu.PrintTitles" localSheetId="6" hidden="1">'224_過払金'!$1:$1</definedName>
    <definedName name="Z_2ED08BFB_32F2_40DC_9FA0_3D6DF2CD2658_.wvu.PrintTitles" localSheetId="7" hidden="1">'225_不動産'!$1:$1</definedName>
    <definedName name="Z_2ED08BFB_32F2_40DC_9FA0_3D6DF2CD2658_.wvu.PrintTitles" localSheetId="8" hidden="1">'226_有価証券'!$1:$1</definedName>
    <definedName name="Z_2ED08BFB_32F2_40DC_9FA0_3D6DF2CD2658_.wvu.PrintTitles" localSheetId="9" hidden="1">'227_手形・小切手'!$1:$1</definedName>
    <definedName name="Z_2ED08BFB_32F2_40DC_9FA0_3D6DF2CD2658_.wvu.PrintTitles" localSheetId="10" hidden="1">'228_売掛金'!$1:$1</definedName>
    <definedName name="Z_2ED08BFB_32F2_40DC_9FA0_3D6DF2CD2658_.wvu.PrintTitles" localSheetId="11" hidden="1">'229_貸付金'!$1:$1</definedName>
    <definedName name="Z_2ED08BFB_32F2_40DC_9FA0_3D6DF2CD2658_.wvu.PrintTitles" localSheetId="12" hidden="1">'230_在庫商品'!$1:$1</definedName>
    <definedName name="Z_2ED08BFB_32F2_40DC_9FA0_3D6DF2CD2658_.wvu.PrintTitles" localSheetId="13" hidden="1">'231_機械・工具類'!$1:$1</definedName>
    <definedName name="Z_2ED08BFB_32F2_40DC_9FA0_3D6DF2CD2658_.wvu.PrintTitles" localSheetId="14" hidden="1">'232_什器備品'!$1:$1</definedName>
    <definedName name="Z_2ED08BFB_32F2_40DC_9FA0_3D6DF2CD2658_.wvu.PrintTitles" localSheetId="15" hidden="1">'233_その他'!$1:$1</definedName>
    <definedName name="Z_2ED08BFB_32F2_40DC_9FA0_3D6DF2CD2658_.wvu.PrintTitles" localSheetId="16" hidden="1">'234_処分済財産'!$4:$4</definedName>
    <definedName name="Z_348C0A88_2D6B_48B4_929A_E6B77EACA73D_.wvu.Cols" localSheetId="0" hidden="1">'218_総括表'!$G:$G</definedName>
    <definedName name="Z_348C0A88_2D6B_48B4_929A_E6B77EACA73D_.wvu.PrintArea" localSheetId="6" hidden="1">'224_過払金'!$A$1:$I$12</definedName>
    <definedName name="Z_348C0A88_2D6B_48B4_929A_E6B77EACA73D_.wvu.PrintTitles" localSheetId="1" hidden="1">'219_預貯金・積立金'!$1:$1</definedName>
    <definedName name="Z_348C0A88_2D6B_48B4_929A_E6B77EACA73D_.wvu.PrintTitles" localSheetId="2" hidden="1">'220_保険'!$1:$1</definedName>
    <definedName name="Z_348C0A88_2D6B_48B4_929A_E6B77EACA73D_.wvu.PrintTitles" localSheetId="3" hidden="1">'221_自動車'!$1:$1</definedName>
    <definedName name="Z_348C0A88_2D6B_48B4_929A_E6B77EACA73D_.wvu.PrintTitles" localSheetId="4" hidden="1">'222_敷金'!$1:$1</definedName>
    <definedName name="Z_348C0A88_2D6B_48B4_929A_E6B77EACA73D_.wvu.PrintTitles" localSheetId="5" hidden="1">'223_退職金'!$1:$1</definedName>
    <definedName name="Z_348C0A88_2D6B_48B4_929A_E6B77EACA73D_.wvu.PrintTitles" localSheetId="6" hidden="1">'224_過払金'!$1:$1</definedName>
    <definedName name="Z_348C0A88_2D6B_48B4_929A_E6B77EACA73D_.wvu.PrintTitles" localSheetId="7" hidden="1">'225_不動産'!$1:$1</definedName>
    <definedName name="Z_348C0A88_2D6B_48B4_929A_E6B77EACA73D_.wvu.PrintTitles" localSheetId="8" hidden="1">'226_有価証券'!$1:$1</definedName>
    <definedName name="Z_348C0A88_2D6B_48B4_929A_E6B77EACA73D_.wvu.PrintTitles" localSheetId="9" hidden="1">'227_手形・小切手'!$1:$1</definedName>
    <definedName name="Z_348C0A88_2D6B_48B4_929A_E6B77EACA73D_.wvu.PrintTitles" localSheetId="10" hidden="1">'228_売掛金'!$1:$1</definedName>
    <definedName name="Z_348C0A88_2D6B_48B4_929A_E6B77EACA73D_.wvu.PrintTitles" localSheetId="11" hidden="1">'229_貸付金'!$1:$1</definedName>
    <definedName name="Z_348C0A88_2D6B_48B4_929A_E6B77EACA73D_.wvu.PrintTitles" localSheetId="12" hidden="1">'230_在庫商品'!$1:$1</definedName>
    <definedName name="Z_348C0A88_2D6B_48B4_929A_E6B77EACA73D_.wvu.PrintTitles" localSheetId="13" hidden="1">'231_機械・工具類'!$1:$1</definedName>
    <definedName name="Z_348C0A88_2D6B_48B4_929A_E6B77EACA73D_.wvu.PrintTitles" localSheetId="14" hidden="1">'232_什器備品'!$1:$1</definedName>
    <definedName name="Z_348C0A88_2D6B_48B4_929A_E6B77EACA73D_.wvu.PrintTitles" localSheetId="15" hidden="1">'233_その他'!$1:$1</definedName>
    <definedName name="Z_348C0A88_2D6B_48B4_929A_E6B77EACA73D_.wvu.PrintTitles" localSheetId="16" hidden="1">'234_処分済財産'!$4:$4</definedName>
    <definedName name="Z_CB2864B2_4E22_42B2_A294_4D47309CF09D_.wvu.Cols" localSheetId="0" hidden="1">'218_総括表'!$G:$G</definedName>
    <definedName name="Z_CB2864B2_4E22_42B2_A294_4D47309CF09D_.wvu.PrintArea" localSheetId="6" hidden="1">'224_過払金'!$A$1:$I$12</definedName>
    <definedName name="Z_CB2864B2_4E22_42B2_A294_4D47309CF09D_.wvu.PrintTitles" localSheetId="1" hidden="1">'219_預貯金・積立金'!$1:$1</definedName>
    <definedName name="Z_CB2864B2_4E22_42B2_A294_4D47309CF09D_.wvu.PrintTitles" localSheetId="2" hidden="1">'220_保険'!$1:$1</definedName>
    <definedName name="Z_CB2864B2_4E22_42B2_A294_4D47309CF09D_.wvu.PrintTitles" localSheetId="3" hidden="1">'221_自動車'!$1:$1</definedName>
    <definedName name="Z_CB2864B2_4E22_42B2_A294_4D47309CF09D_.wvu.PrintTitles" localSheetId="4" hidden="1">'222_敷金'!$1:$1</definedName>
    <definedName name="Z_CB2864B2_4E22_42B2_A294_4D47309CF09D_.wvu.PrintTitles" localSheetId="5" hidden="1">'223_退職金'!$1:$1</definedName>
    <definedName name="Z_CB2864B2_4E22_42B2_A294_4D47309CF09D_.wvu.PrintTitles" localSheetId="6" hidden="1">'224_過払金'!$1:$1</definedName>
    <definedName name="Z_CB2864B2_4E22_42B2_A294_4D47309CF09D_.wvu.PrintTitles" localSheetId="7" hidden="1">'225_不動産'!$1:$1</definedName>
    <definedName name="Z_CB2864B2_4E22_42B2_A294_4D47309CF09D_.wvu.PrintTitles" localSheetId="8" hidden="1">'226_有価証券'!$1:$1</definedName>
    <definedName name="Z_CB2864B2_4E22_42B2_A294_4D47309CF09D_.wvu.PrintTitles" localSheetId="9" hidden="1">'227_手形・小切手'!$1:$1</definedName>
    <definedName name="Z_CB2864B2_4E22_42B2_A294_4D47309CF09D_.wvu.PrintTitles" localSheetId="10" hidden="1">'228_売掛金'!$1:$1</definedName>
    <definedName name="Z_CB2864B2_4E22_42B2_A294_4D47309CF09D_.wvu.PrintTitles" localSheetId="11" hidden="1">'229_貸付金'!$1:$1</definedName>
    <definedName name="Z_CB2864B2_4E22_42B2_A294_4D47309CF09D_.wvu.PrintTitles" localSheetId="12" hidden="1">'230_在庫商品'!$1:$1</definedName>
    <definedName name="Z_CB2864B2_4E22_42B2_A294_4D47309CF09D_.wvu.PrintTitles" localSheetId="13" hidden="1">'231_機械・工具類'!$1:$1</definedName>
    <definedName name="Z_CB2864B2_4E22_42B2_A294_4D47309CF09D_.wvu.PrintTitles" localSheetId="14" hidden="1">'232_什器備品'!$1:$1</definedName>
    <definedName name="Z_CB2864B2_4E22_42B2_A294_4D47309CF09D_.wvu.PrintTitles" localSheetId="15" hidden="1">'233_その他'!$1:$1</definedName>
    <definedName name="Z_CB2864B2_4E22_42B2_A294_4D47309CF09D_.wvu.PrintTitles" localSheetId="16" hidden="1">'234_処分済財産'!$4:$4</definedName>
    <definedName name="Z_EDE077E3_93A2_422C_951E_2814F2FB5724_.wvu.Cols" localSheetId="0" hidden="1">'218_総括表'!$G:$G</definedName>
    <definedName name="Z_EDE077E3_93A2_422C_951E_2814F2FB5724_.wvu.PrintArea" localSheetId="6" hidden="1">'224_過払金'!$A$1:$I$12</definedName>
    <definedName name="Z_EDE077E3_93A2_422C_951E_2814F2FB5724_.wvu.PrintTitles" localSheetId="1" hidden="1">'219_預貯金・積立金'!$1:$1</definedName>
    <definedName name="Z_EDE077E3_93A2_422C_951E_2814F2FB5724_.wvu.PrintTitles" localSheetId="2" hidden="1">'220_保険'!$1:$1</definedName>
    <definedName name="Z_EDE077E3_93A2_422C_951E_2814F2FB5724_.wvu.PrintTitles" localSheetId="3" hidden="1">'221_自動車'!$1:$1</definedName>
    <definedName name="Z_EDE077E3_93A2_422C_951E_2814F2FB5724_.wvu.PrintTitles" localSheetId="4" hidden="1">'222_敷金'!$1:$1</definedName>
    <definedName name="Z_EDE077E3_93A2_422C_951E_2814F2FB5724_.wvu.PrintTitles" localSheetId="5" hidden="1">'223_退職金'!$1:$1</definedName>
    <definedName name="Z_EDE077E3_93A2_422C_951E_2814F2FB5724_.wvu.PrintTitles" localSheetId="6" hidden="1">'224_過払金'!$1:$1</definedName>
    <definedName name="Z_EDE077E3_93A2_422C_951E_2814F2FB5724_.wvu.PrintTitles" localSheetId="7" hidden="1">'225_不動産'!$1:$1</definedName>
    <definedName name="Z_EDE077E3_93A2_422C_951E_2814F2FB5724_.wvu.PrintTitles" localSheetId="8" hidden="1">'226_有価証券'!$1:$1</definedName>
    <definedName name="Z_EDE077E3_93A2_422C_951E_2814F2FB5724_.wvu.PrintTitles" localSheetId="9" hidden="1">'227_手形・小切手'!$1:$1</definedName>
    <definedName name="Z_EDE077E3_93A2_422C_951E_2814F2FB5724_.wvu.PrintTitles" localSheetId="10" hidden="1">'228_売掛金'!$1:$1</definedName>
    <definedName name="Z_EDE077E3_93A2_422C_951E_2814F2FB5724_.wvu.PrintTitles" localSheetId="11" hidden="1">'229_貸付金'!$1:$1</definedName>
    <definedName name="Z_EDE077E3_93A2_422C_951E_2814F2FB5724_.wvu.PrintTitles" localSheetId="12" hidden="1">'230_在庫商品'!$1:$1</definedName>
    <definedName name="Z_EDE077E3_93A2_422C_951E_2814F2FB5724_.wvu.PrintTitles" localSheetId="13" hidden="1">'231_機械・工具類'!$1:$1</definedName>
    <definedName name="Z_EDE077E3_93A2_422C_951E_2814F2FB5724_.wvu.PrintTitles" localSheetId="14" hidden="1">'232_什器備品'!$1:$1</definedName>
    <definedName name="Z_EDE077E3_93A2_422C_951E_2814F2FB5724_.wvu.PrintTitles" localSheetId="15" hidden="1">'233_その他'!$1:$1</definedName>
    <definedName name="Z_EDE077E3_93A2_422C_951E_2814F2FB5724_.wvu.PrintTitles" localSheetId="16" hidden="1">'234_処分済財産'!$4:$4</definedName>
  </definedNames>
  <calcPr calcId="191029"/>
  <customWorkbookViews>
    <customWorkbookView name="hora-law-a - 個人用ビュー" guid="{2ED08BFB-32F2-40DC-9FA0-3D6DF2CD2658}" mergeInterval="0" personalView="1" maximized="1" windowWidth="1916" windowHeight="849" tabRatio="904" activeSheetId="8"/>
    <customWorkbookView name="065MIYAMOTO - 個人用ビュー" guid="{EDE077E3-93A2-422C-951E-2814F2FB5724}" mergeInterval="0" personalView="1" maximized="1" xWindow="-8" yWindow="-8" windowWidth="1296" windowHeight="1000" tabRatio="904" activeSheetId="1" showComments="commIndAndComment"/>
    <customWorkbookView name="hora - 個人用ビュー" guid="{348C0A88-2D6B-48B4-929A-E6B77EACA73D}" mergeInterval="0" personalView="1" maximized="1" windowWidth="1362" windowHeight="538" tabRatio="904" activeSheetId="17"/>
    <customWorkbookView name="hora-law-b - 個人用ビュー" guid="{CB2864B2-4E22-42B2-A294-4D47309CF09D}" mergeInterval="0" personalView="1" maximized="1" windowWidth="1366" windowHeight="537" tabRatio="904" activeSheetId="1"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 i="6" l="1"/>
  <c r="E4" i="6"/>
  <c r="E5" i="6"/>
  <c r="E2" i="6"/>
  <c r="D2" i="5" l="1"/>
  <c r="L10" i="8" l="1" a="1"/>
  <c r="L10" i="8" s="1"/>
  <c r="G10" i="8"/>
  <c r="F10" i="8"/>
  <c r="E10" i="8"/>
  <c r="K10" i="9" a="1"/>
  <c r="K10" i="9" s="1"/>
  <c r="H10" i="9"/>
  <c r="G10" i="9"/>
  <c r="L10" i="10" a="1"/>
  <c r="L10" i="10" s="1"/>
  <c r="J10" i="10"/>
  <c r="I10" i="10"/>
  <c r="J10" i="11" a="1"/>
  <c r="J10" i="11" s="1"/>
  <c r="G10" i="11"/>
  <c r="F10" i="11"/>
  <c r="J10" i="12" a="1"/>
  <c r="J10" i="12" s="1"/>
  <c r="G10" i="12"/>
  <c r="F10" i="12"/>
  <c r="H10" i="13" a="1"/>
  <c r="H10" i="13" s="1"/>
  <c r="F10" i="13"/>
  <c r="E10" i="13"/>
  <c r="H10" i="14" a="1"/>
  <c r="H10" i="14" s="1"/>
  <c r="E10" i="14"/>
  <c r="F10" i="14"/>
  <c r="H10" i="15" a="1"/>
  <c r="H10" i="15" s="1"/>
  <c r="E10" i="15"/>
  <c r="F10" i="15"/>
  <c r="H10" i="16" a="1"/>
  <c r="H10" i="16" s="1"/>
  <c r="F10" i="16" l="1"/>
  <c r="E10" i="16"/>
  <c r="F19" i="1" l="1"/>
  <c r="C6" i="5"/>
  <c r="C12" i="7" l="1"/>
  <c r="D12" i="7"/>
  <c r="E12" i="7"/>
  <c r="F12" i="7"/>
  <c r="I12" i="7" a="1"/>
  <c r="I12" i="7" s="1"/>
  <c r="I6" i="6" a="1"/>
  <c r="I6" i="6" s="1"/>
  <c r="D6" i="6"/>
  <c r="D3" i="5"/>
  <c r="J6" i="5" s="1" a="1"/>
  <c r="J6" i="5" s="1"/>
  <c r="D4" i="5"/>
  <c r="D6" i="5" s="1"/>
  <c r="D5" i="5"/>
  <c r="E6" i="5"/>
  <c r="F6" i="5"/>
  <c r="F8" i="4"/>
  <c r="G8" i="4"/>
  <c r="K8" i="4" a="1"/>
  <c r="K8" i="4" s="1"/>
  <c r="E12" i="3"/>
  <c r="F12" i="3"/>
  <c r="I12" i="3" a="1"/>
  <c r="I12" i="3" s="1"/>
  <c r="F12" i="2"/>
  <c r="H12" i="2"/>
  <c r="K12" i="2" a="1"/>
  <c r="K12" i="2" s="1"/>
  <c r="G3" i="1"/>
  <c r="G4" i="1"/>
  <c r="G5" i="1"/>
  <c r="G6" i="1"/>
  <c r="G7" i="1"/>
  <c r="G8" i="1"/>
  <c r="G10" i="1"/>
  <c r="G11" i="1"/>
  <c r="G12" i="1"/>
  <c r="G13" i="1"/>
  <c r="G14" i="1"/>
  <c r="G15" i="1"/>
  <c r="G16" i="1"/>
  <c r="G17" i="1"/>
  <c r="G18" i="1"/>
  <c r="C19" i="1"/>
  <c r="D19" i="1"/>
  <c r="G6" i="5" l="1"/>
  <c r="E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新宅 正人</author>
  </authors>
  <commentList>
    <comment ref="J1" authorId="0" shapeId="0" xr:uid="{00000000-0006-0000-0400-000001000000}">
      <text>
        <r>
          <rPr>
            <sz val="9"/>
            <color indexed="81"/>
            <rFont val="ＭＳ Ｐゴシック"/>
            <family val="3"/>
            <charset val="128"/>
          </rPr>
          <t>評価額が０の場合でも拡張を希望する場合は拡張申立欄にチェックして下さい。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新宅 正人</author>
  </authors>
  <commentList>
    <comment ref="G1" authorId="0" shapeId="0" xr:uid="{00000000-0006-0000-0700-000001000000}">
      <text>
        <r>
          <rPr>
            <sz val="9"/>
            <color indexed="81"/>
            <rFont val="ＭＳ Ｐゴシック"/>
            <family val="3"/>
            <charset val="128"/>
          </rPr>
          <t>回収見込額については、固定資産評価証明における評価額ないし査定価格と被担保債権額の差額を記載する。</t>
        </r>
        <r>
          <rPr>
            <sz val="9"/>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新宅 正人</author>
  </authors>
  <commentList>
    <comment ref="B1" authorId="0" shapeId="0" xr:uid="{00000000-0006-0000-0900-000001000000}">
      <text>
        <r>
          <rPr>
            <sz val="9"/>
            <color indexed="81"/>
            <rFont val="ＭＳ Ｐゴシック"/>
            <family val="3"/>
            <charset val="128"/>
          </rPr>
          <t>割引手形は記載しない。</t>
        </r>
      </text>
    </comment>
  </commentList>
</comments>
</file>

<file path=xl/sharedStrings.xml><?xml version="1.0" encoding="utf-8"?>
<sst xmlns="http://schemas.openxmlformats.org/spreadsheetml/2006/main" count="454" uniqueCount="131">
  <si>
    <t>〒</t>
  </si>
  <si>
    <t>住　　所</t>
  </si>
  <si>
    <t>手形小切手番号</t>
    <rPh sb="0" eb="2">
      <t>テガタ</t>
    </rPh>
    <rPh sb="2" eb="5">
      <t>コギッテ</t>
    </rPh>
    <rPh sb="5" eb="7">
      <t>バンゴウ</t>
    </rPh>
    <phoneticPr fontId="2"/>
  </si>
  <si>
    <t>裏書人</t>
    <rPh sb="0" eb="3">
      <t>ウラガキニン</t>
    </rPh>
    <phoneticPr fontId="2"/>
  </si>
  <si>
    <t>科　目</t>
    <rPh sb="0" eb="3">
      <t>カモク</t>
    </rPh>
    <phoneticPr fontId="5"/>
  </si>
  <si>
    <t>現金</t>
    <rPh sb="0" eb="2">
      <t>ゲンキン</t>
    </rPh>
    <phoneticPr fontId="5"/>
  </si>
  <si>
    <t>保険解約返戻金</t>
    <rPh sb="0" eb="2">
      <t>ホケン</t>
    </rPh>
    <rPh sb="2" eb="4">
      <t>カイヤク</t>
    </rPh>
    <rPh sb="4" eb="7">
      <t>ヘンレイキン</t>
    </rPh>
    <phoneticPr fontId="5"/>
  </si>
  <si>
    <t>賃借保証金・敷金</t>
    <rPh sb="0" eb="2">
      <t>チンシャク</t>
    </rPh>
    <rPh sb="2" eb="5">
      <t>ホショウキン</t>
    </rPh>
    <rPh sb="6" eb="8">
      <t>シキキン</t>
    </rPh>
    <phoneticPr fontId="5"/>
  </si>
  <si>
    <t>受取手形・小切手</t>
    <rPh sb="0" eb="2">
      <t>ウケトリ</t>
    </rPh>
    <rPh sb="2" eb="4">
      <t>テガタ</t>
    </rPh>
    <rPh sb="5" eb="8">
      <t>コギッテ</t>
    </rPh>
    <phoneticPr fontId="5"/>
  </si>
  <si>
    <t>売掛金</t>
    <rPh sb="0" eb="3">
      <t>ウリカケキン</t>
    </rPh>
    <phoneticPr fontId="5"/>
  </si>
  <si>
    <t>貸付金</t>
    <rPh sb="0" eb="3">
      <t>カシツケキン</t>
    </rPh>
    <phoneticPr fontId="5"/>
  </si>
  <si>
    <t>不動産</t>
    <rPh sb="0" eb="3">
      <t>フドウサン</t>
    </rPh>
    <phoneticPr fontId="5"/>
  </si>
  <si>
    <t>自動車</t>
    <rPh sb="0" eb="3">
      <t>ジドウシャ</t>
    </rPh>
    <phoneticPr fontId="5"/>
  </si>
  <si>
    <t>有価証券</t>
    <rPh sb="0" eb="2">
      <t>ユウカ</t>
    </rPh>
    <rPh sb="2" eb="4">
      <t>ショウケン</t>
    </rPh>
    <phoneticPr fontId="5"/>
  </si>
  <si>
    <t>機械・工具類</t>
    <rPh sb="0" eb="2">
      <t>キカイ</t>
    </rPh>
    <rPh sb="3" eb="5">
      <t>コウグ</t>
    </rPh>
    <rPh sb="5" eb="6">
      <t>ルイ</t>
    </rPh>
    <phoneticPr fontId="5"/>
  </si>
  <si>
    <t>什器備品</t>
    <rPh sb="0" eb="2">
      <t>ジュウキ</t>
    </rPh>
    <rPh sb="2" eb="4">
      <t>ビヒン</t>
    </rPh>
    <phoneticPr fontId="5"/>
  </si>
  <si>
    <t>在庫商品</t>
    <rPh sb="0" eb="2">
      <t>ザイコ</t>
    </rPh>
    <rPh sb="2" eb="4">
      <t>ショウヒン</t>
    </rPh>
    <phoneticPr fontId="5"/>
  </si>
  <si>
    <t>金　額（円）</t>
    <rPh sb="4" eb="5">
      <t>エン</t>
    </rPh>
    <phoneticPr fontId="2"/>
  </si>
  <si>
    <t>備　　考</t>
    <rPh sb="0" eb="1">
      <t>ソナエ</t>
    </rPh>
    <rPh sb="3" eb="4">
      <t>コウ</t>
    </rPh>
    <phoneticPr fontId="6"/>
  </si>
  <si>
    <t>保険種類</t>
    <rPh sb="0" eb="2">
      <t>ホケン</t>
    </rPh>
    <rPh sb="2" eb="4">
      <t>シュルイ</t>
    </rPh>
    <phoneticPr fontId="6"/>
  </si>
  <si>
    <t>証券番号</t>
    <rPh sb="0" eb="2">
      <t>ショウケン</t>
    </rPh>
    <rPh sb="2" eb="4">
      <t>バンゴウ</t>
    </rPh>
    <phoneticPr fontId="6"/>
  </si>
  <si>
    <t>証券</t>
    <rPh sb="0" eb="2">
      <t>ショウケン</t>
    </rPh>
    <phoneticPr fontId="6"/>
  </si>
  <si>
    <t>賃借物件</t>
    <rPh sb="0" eb="2">
      <t>チンシャク</t>
    </rPh>
    <rPh sb="2" eb="4">
      <t>ブッケン</t>
    </rPh>
    <phoneticPr fontId="6"/>
  </si>
  <si>
    <t>種類</t>
    <rPh sb="0" eb="2">
      <t>シュルイ</t>
    </rPh>
    <phoneticPr fontId="6"/>
  </si>
  <si>
    <t>所在地</t>
    <rPh sb="0" eb="3">
      <t>ショザイチ</t>
    </rPh>
    <phoneticPr fontId="6"/>
  </si>
  <si>
    <t>被担保債権額　（円）</t>
    <rPh sb="0" eb="1">
      <t>ヒ</t>
    </rPh>
    <rPh sb="1" eb="3">
      <t>タンポ</t>
    </rPh>
    <rPh sb="3" eb="5">
      <t>サイケン</t>
    </rPh>
    <rPh sb="5" eb="6">
      <t>ガク</t>
    </rPh>
    <rPh sb="8" eb="9">
      <t>エン</t>
    </rPh>
    <phoneticPr fontId="6"/>
  </si>
  <si>
    <t>回収見込額（円）</t>
    <rPh sb="0" eb="2">
      <t>カイシュウ</t>
    </rPh>
    <rPh sb="2" eb="5">
      <t>ミコミガク</t>
    </rPh>
    <rPh sb="6" eb="7">
      <t>エン</t>
    </rPh>
    <phoneticPr fontId="2"/>
  </si>
  <si>
    <t>車名</t>
    <rPh sb="0" eb="1">
      <t>クルマ</t>
    </rPh>
    <rPh sb="1" eb="2">
      <t>メイ</t>
    </rPh>
    <phoneticPr fontId="6"/>
  </si>
  <si>
    <t>登録番号</t>
    <rPh sb="0" eb="2">
      <t>トウロク</t>
    </rPh>
    <rPh sb="2" eb="4">
      <t>バンゴウ</t>
    </rPh>
    <phoneticPr fontId="6"/>
  </si>
  <si>
    <t>保管場所</t>
    <rPh sb="0" eb="2">
      <t>ホカン</t>
    </rPh>
    <rPh sb="2" eb="4">
      <t>バショ</t>
    </rPh>
    <phoneticPr fontId="6"/>
  </si>
  <si>
    <t>所在場所</t>
    <rPh sb="0" eb="2">
      <t>ショザイ</t>
    </rPh>
    <rPh sb="2" eb="4">
      <t>バショ</t>
    </rPh>
    <phoneticPr fontId="6"/>
  </si>
  <si>
    <t>品名</t>
    <rPh sb="0" eb="2">
      <t>ヒンメイ</t>
    </rPh>
    <phoneticPr fontId="6"/>
  </si>
  <si>
    <t>個数</t>
    <rPh sb="0" eb="2">
      <t>コスウ</t>
    </rPh>
    <phoneticPr fontId="6"/>
  </si>
  <si>
    <t>名称</t>
    <rPh sb="0" eb="2">
      <t>メイショウ</t>
    </rPh>
    <phoneticPr fontId="6"/>
  </si>
  <si>
    <t>備　考</t>
    <rPh sb="0" eb="1">
      <t>ソナエ</t>
    </rPh>
    <rPh sb="2" eb="3">
      <t>コウ</t>
    </rPh>
    <phoneticPr fontId="5"/>
  </si>
  <si>
    <t>相殺予定</t>
    <rPh sb="0" eb="2">
      <t>ソウサイ</t>
    </rPh>
    <rPh sb="2" eb="4">
      <t>ヨテイ</t>
    </rPh>
    <phoneticPr fontId="6"/>
  </si>
  <si>
    <t>備　　考　　　</t>
    <rPh sb="0" eb="1">
      <t>ソナエ</t>
    </rPh>
    <rPh sb="3" eb="4">
      <t>コウ</t>
    </rPh>
    <phoneticPr fontId="6"/>
  </si>
  <si>
    <t>差入額（円）</t>
    <rPh sb="0" eb="1">
      <t>サ</t>
    </rPh>
    <rPh sb="1" eb="2">
      <t>イ</t>
    </rPh>
    <rPh sb="2" eb="3">
      <t>ガク</t>
    </rPh>
    <rPh sb="4" eb="5">
      <t>エン</t>
    </rPh>
    <phoneticPr fontId="6"/>
  </si>
  <si>
    <t>契約上の返戻金（円）</t>
    <rPh sb="0" eb="3">
      <t>ケイヤクジョウ</t>
    </rPh>
    <rPh sb="4" eb="7">
      <t>ヘンレイキン</t>
    </rPh>
    <rPh sb="8" eb="9">
      <t>エン</t>
    </rPh>
    <phoneticPr fontId="6"/>
  </si>
  <si>
    <t>滞納額（円）</t>
    <rPh sb="0" eb="3">
      <t>タイノウガク</t>
    </rPh>
    <rPh sb="4" eb="5">
      <t>エン</t>
    </rPh>
    <phoneticPr fontId="6"/>
  </si>
  <si>
    <t>回収見込額（円）</t>
    <rPh sb="0" eb="2">
      <t>カイシュウ</t>
    </rPh>
    <rPh sb="2" eb="5">
      <t>ミコミガク</t>
    </rPh>
    <rPh sb="6" eb="7">
      <t>エン</t>
    </rPh>
    <phoneticPr fontId="6"/>
  </si>
  <si>
    <t>支払期日</t>
    <rPh sb="0" eb="2">
      <t>シハライ</t>
    </rPh>
    <rPh sb="2" eb="4">
      <t>キジツ</t>
    </rPh>
    <phoneticPr fontId="2"/>
  </si>
  <si>
    <t>回収見込額（円）</t>
    <rPh sb="0" eb="2">
      <t>カイシュウ</t>
    </rPh>
    <rPh sb="2" eb="4">
      <t>ミコ</t>
    </rPh>
    <rPh sb="4" eb="5">
      <t>ガク</t>
    </rPh>
    <rPh sb="6" eb="7">
      <t>エン</t>
    </rPh>
    <phoneticPr fontId="2"/>
  </si>
  <si>
    <t>査定書</t>
    <rPh sb="0" eb="2">
      <t>サテイ</t>
    </rPh>
    <rPh sb="2" eb="3">
      <t>ショ</t>
    </rPh>
    <phoneticPr fontId="6"/>
  </si>
  <si>
    <t>回収見込額（円）</t>
    <rPh sb="0" eb="2">
      <t>カイシュウ</t>
    </rPh>
    <rPh sb="2" eb="4">
      <t>ミコミ</t>
    </rPh>
    <rPh sb="4" eb="5">
      <t>ガク</t>
    </rPh>
    <rPh sb="6" eb="7">
      <t>エン</t>
    </rPh>
    <phoneticPr fontId="6"/>
  </si>
  <si>
    <t>数量</t>
    <rPh sb="0" eb="2">
      <t>スウリョウ</t>
    </rPh>
    <phoneticPr fontId="6"/>
  </si>
  <si>
    <t>備考</t>
    <rPh sb="0" eb="2">
      <t>ビコウ</t>
    </rPh>
    <phoneticPr fontId="6"/>
  </si>
  <si>
    <t>番号</t>
    <rPh sb="0" eb="2">
      <t>バンゴウ</t>
    </rPh>
    <phoneticPr fontId="3"/>
  </si>
  <si>
    <t>処分価格(円）</t>
    <rPh sb="0" eb="2">
      <t>ショブン</t>
    </rPh>
    <rPh sb="2" eb="4">
      <t>カカク</t>
    </rPh>
    <rPh sb="5" eb="6">
      <t>エン</t>
    </rPh>
    <phoneticPr fontId="3"/>
  </si>
  <si>
    <t>契約書等</t>
    <rPh sb="2" eb="3">
      <t>ショ</t>
    </rPh>
    <phoneticPr fontId="2"/>
  </si>
  <si>
    <t>名目額(簿価額等)(円)</t>
    <rPh sb="0" eb="3">
      <t>メイモクガク</t>
    </rPh>
    <rPh sb="4" eb="6">
      <t>ボカ</t>
    </rPh>
    <rPh sb="6" eb="7">
      <t>ガク</t>
    </rPh>
    <rPh sb="7" eb="8">
      <t>トウ</t>
    </rPh>
    <rPh sb="10" eb="11">
      <t>エン</t>
    </rPh>
    <phoneticPr fontId="5"/>
  </si>
  <si>
    <t>回収見込額(円)</t>
    <rPh sb="0" eb="2">
      <t>カイシュウ</t>
    </rPh>
    <rPh sb="2" eb="5">
      <t>ミコミガク</t>
    </rPh>
    <rPh sb="6" eb="7">
      <t>エン</t>
    </rPh>
    <phoneticPr fontId="5"/>
  </si>
  <si>
    <t>合計</t>
    <rPh sb="0" eb="2">
      <t>ゴウケイ</t>
    </rPh>
    <phoneticPr fontId="5"/>
  </si>
  <si>
    <t>No.</t>
    <phoneticPr fontId="6"/>
  </si>
  <si>
    <t>No.</t>
    <phoneticPr fontId="2"/>
  </si>
  <si>
    <t>回収見込額
（解約返戻金）（円）</t>
    <rPh sb="0" eb="2">
      <t>カイシュウ</t>
    </rPh>
    <rPh sb="2" eb="5">
      <t>ミコミガク</t>
    </rPh>
    <rPh sb="7" eb="9">
      <t>カイヤク</t>
    </rPh>
    <rPh sb="9" eb="12">
      <t>ヘンレイキン</t>
    </rPh>
    <rPh sb="14" eb="15">
      <t>エン</t>
    </rPh>
    <phoneticPr fontId="6"/>
  </si>
  <si>
    <t>□</t>
    <phoneticPr fontId="6"/>
  </si>
  <si>
    <t>自由財産
拡張申立</t>
    <rPh sb="0" eb="4">
      <t>ジユウザイサン</t>
    </rPh>
    <rPh sb="5" eb="7">
      <t>カクチョウ</t>
    </rPh>
    <rPh sb="7" eb="9">
      <t>モウシタテ</t>
    </rPh>
    <phoneticPr fontId="6"/>
  </si>
  <si>
    <t>自由財産の額 及び
拡張を求める財産の額
(円)</t>
    <rPh sb="0" eb="4">
      <t>ジユウザイサン</t>
    </rPh>
    <rPh sb="5" eb="6">
      <t>ガク</t>
    </rPh>
    <rPh sb="7" eb="8">
      <t>オヨ</t>
    </rPh>
    <rPh sb="10" eb="12">
      <t>カクチョウ</t>
    </rPh>
    <rPh sb="13" eb="14">
      <t>モト</t>
    </rPh>
    <rPh sb="16" eb="18">
      <t>ザイサン</t>
    </rPh>
    <rPh sb="19" eb="20">
      <t>ガク</t>
    </rPh>
    <rPh sb="22" eb="23">
      <t>エン</t>
    </rPh>
    <phoneticPr fontId="5"/>
  </si>
  <si>
    <t>簿価等（円）</t>
    <rPh sb="0" eb="2">
      <t>ボカ</t>
    </rPh>
    <rPh sb="2" eb="3">
      <t>トウ</t>
    </rPh>
    <rPh sb="4" eb="5">
      <t>エン</t>
    </rPh>
    <phoneticPr fontId="6"/>
  </si>
  <si>
    <t>評価証明書等</t>
    <rPh sb="0" eb="2">
      <t>ヒョウカ</t>
    </rPh>
    <rPh sb="2" eb="5">
      <t>ショウメイショ</t>
    </rPh>
    <rPh sb="5" eb="6">
      <t>トウ</t>
    </rPh>
    <phoneticPr fontId="6"/>
  </si>
  <si>
    <t>簿価等（円）</t>
    <rPh sb="0" eb="2">
      <t>ボカ</t>
    </rPh>
    <rPh sb="2" eb="3">
      <t>ナド</t>
    </rPh>
    <rPh sb="4" eb="5">
      <t>エン</t>
    </rPh>
    <phoneticPr fontId="6"/>
  </si>
  <si>
    <t>退職金</t>
    <rPh sb="0" eb="3">
      <t>タイショクキン</t>
    </rPh>
    <phoneticPr fontId="5"/>
  </si>
  <si>
    <t>No.</t>
    <phoneticPr fontId="6"/>
  </si>
  <si>
    <t>□</t>
    <phoneticPr fontId="6"/>
  </si>
  <si>
    <t>勤務開始日</t>
    <rPh sb="0" eb="2">
      <t>キンム</t>
    </rPh>
    <rPh sb="2" eb="4">
      <t>カイシ</t>
    </rPh>
    <rPh sb="4" eb="5">
      <t>ビ</t>
    </rPh>
    <phoneticPr fontId="6"/>
  </si>
  <si>
    <t>支給見込額（円）</t>
    <rPh sb="0" eb="2">
      <t>シキュウ</t>
    </rPh>
    <rPh sb="2" eb="5">
      <t>ミコミガク</t>
    </rPh>
    <rPh sb="6" eb="7">
      <t>エン</t>
    </rPh>
    <phoneticPr fontId="6"/>
  </si>
  <si>
    <t>1/8相当額（円）</t>
    <rPh sb="3" eb="5">
      <t>ソウトウ</t>
    </rPh>
    <rPh sb="5" eb="6">
      <t>ガク</t>
    </rPh>
    <rPh sb="7" eb="8">
      <t>エン</t>
    </rPh>
    <phoneticPr fontId="6"/>
  </si>
  <si>
    <t>証明書</t>
    <rPh sb="0" eb="3">
      <t>ショウメイショ</t>
    </rPh>
    <phoneticPr fontId="6"/>
  </si>
  <si>
    <t>合計</t>
    <rPh sb="0" eb="2">
      <t>ゴウケイ</t>
    </rPh>
    <phoneticPr fontId="6"/>
  </si>
  <si>
    <t>合計</t>
    <rPh sb="0" eb="2">
      <t>ゴウケイ</t>
    </rPh>
    <phoneticPr fontId="2"/>
  </si>
  <si>
    <t>※</t>
    <phoneticPr fontId="3"/>
  </si>
  <si>
    <t>財産の種類・内容</t>
    <rPh sb="0" eb="2">
      <t>ザイサン</t>
    </rPh>
    <rPh sb="3" eb="5">
      <t>シュルイ</t>
    </rPh>
    <rPh sb="6" eb="8">
      <t>ナイヨウ</t>
    </rPh>
    <phoneticPr fontId="6"/>
  </si>
  <si>
    <t>財産の種類・内容</t>
    <rPh sb="0" eb="2">
      <t>ザイサン</t>
    </rPh>
    <rPh sb="3" eb="5">
      <t>シュルイ</t>
    </rPh>
    <rPh sb="6" eb="8">
      <t>ナイヨウ</t>
    </rPh>
    <phoneticPr fontId="3"/>
  </si>
  <si>
    <t>決算書が存在する事業者については、最終の決算書に記載されており、かつ申立書別紙財産目録に記載のない財産を記載する。</t>
    <rPh sb="0" eb="3">
      <t>ケッサンショ</t>
    </rPh>
    <rPh sb="4" eb="6">
      <t>ソンザイ</t>
    </rPh>
    <rPh sb="8" eb="11">
      <t>ジギョウシャ</t>
    </rPh>
    <rPh sb="17" eb="19">
      <t>サイシュウ</t>
    </rPh>
    <rPh sb="20" eb="23">
      <t>ケッサンショ</t>
    </rPh>
    <rPh sb="24" eb="26">
      <t>キサイ</t>
    </rPh>
    <rPh sb="34" eb="37">
      <t>モウシタテショ</t>
    </rPh>
    <rPh sb="37" eb="39">
      <t>ベッシ</t>
    </rPh>
    <rPh sb="39" eb="41">
      <t>ザイサン</t>
    </rPh>
    <rPh sb="41" eb="43">
      <t>モクロク</t>
    </rPh>
    <rPh sb="44" eb="46">
      <t>キサイ</t>
    </rPh>
    <rPh sb="49" eb="51">
      <t>ザイサン</t>
    </rPh>
    <rPh sb="52" eb="54">
      <t>キサイ</t>
    </rPh>
    <phoneticPr fontId="3"/>
  </si>
  <si>
    <t>それ以外の者については、過去２年以内に処分した財産で20万円以上の価値のあるものを記載する。</t>
    <phoneticPr fontId="3"/>
  </si>
  <si>
    <r>
      <t xml:space="preserve">処分代金の使途 </t>
    </r>
    <r>
      <rPr>
        <sz val="9"/>
        <rFont val="ＭＳ 明朝"/>
        <family val="1"/>
        <charset val="128"/>
      </rPr>
      <t xml:space="preserve">又は </t>
    </r>
    <r>
      <rPr>
        <sz val="11"/>
        <rFont val="ＭＳ 明朝"/>
        <family val="1"/>
        <charset val="128"/>
      </rPr>
      <t>財産目録非掲載の理由</t>
    </r>
    <rPh sb="0" eb="2">
      <t>ショブン</t>
    </rPh>
    <rPh sb="2" eb="4">
      <t>ダイキン</t>
    </rPh>
    <rPh sb="5" eb="7">
      <t>シト</t>
    </rPh>
    <rPh sb="8" eb="9">
      <t>マタ</t>
    </rPh>
    <rPh sb="11" eb="13">
      <t>ザイサン</t>
    </rPh>
    <rPh sb="13" eb="15">
      <t>モクロク</t>
    </rPh>
    <rPh sb="15" eb="16">
      <t>ヒ</t>
    </rPh>
    <rPh sb="16" eb="18">
      <t>ケイサイ</t>
    </rPh>
    <rPh sb="19" eb="21">
      <t>リユウ</t>
    </rPh>
    <phoneticPr fontId="3"/>
  </si>
  <si>
    <t>処分</t>
    <rPh sb="0" eb="2">
      <t>ショブン</t>
    </rPh>
    <phoneticPr fontId="3"/>
  </si>
  <si>
    <t>架空計上</t>
    <rPh sb="0" eb="2">
      <t>カクウ</t>
    </rPh>
    <rPh sb="2" eb="4">
      <t>ケイジョウ</t>
    </rPh>
    <phoneticPr fontId="3"/>
  </si>
  <si>
    <t>支店名</t>
    <rPh sb="0" eb="3">
      <t>シテンメイ</t>
    </rPh>
    <phoneticPr fontId="6"/>
  </si>
  <si>
    <t>額面（円）</t>
    <rPh sb="0" eb="2">
      <t>ガクメン</t>
    </rPh>
    <rPh sb="3" eb="4">
      <t>エン</t>
    </rPh>
    <phoneticPr fontId="2"/>
  </si>
  <si>
    <t>振出人の氏名
又は会社名</t>
    <rPh sb="0" eb="2">
      <t>フリダシ</t>
    </rPh>
    <rPh sb="2" eb="3">
      <t>ニン</t>
    </rPh>
    <phoneticPr fontId="2"/>
  </si>
  <si>
    <t>債務者の氏名
又は会社名</t>
    <rPh sb="0" eb="2">
      <t>サイム</t>
    </rPh>
    <phoneticPr fontId="2"/>
  </si>
  <si>
    <t>取引相場
資料</t>
    <rPh sb="0" eb="2">
      <t>トリヒキ</t>
    </rPh>
    <rPh sb="2" eb="4">
      <t>ソウバ</t>
    </rPh>
    <rPh sb="5" eb="7">
      <t>シリョウ</t>
    </rPh>
    <phoneticPr fontId="6"/>
  </si>
  <si>
    <t>被担保債権
残額証明書</t>
    <rPh sb="0" eb="1">
      <t>ヒ</t>
    </rPh>
    <rPh sb="1" eb="3">
      <t>タンポ</t>
    </rPh>
    <rPh sb="3" eb="5">
      <t>サイケン</t>
    </rPh>
    <rPh sb="6" eb="8">
      <t>ザンガク</t>
    </rPh>
    <rPh sb="8" eb="11">
      <t>ショウメイショ</t>
    </rPh>
    <phoneticPr fontId="6"/>
  </si>
  <si>
    <t>預貯金・積立金</t>
    <rPh sb="0" eb="3">
      <t>ヨチョキン</t>
    </rPh>
    <rPh sb="4" eb="7">
      <t>ツミタテキン</t>
    </rPh>
    <phoneticPr fontId="5"/>
  </si>
  <si>
    <t>金融機関又は
積立先の名称</t>
    <rPh sb="0" eb="2">
      <t>キンユウ</t>
    </rPh>
    <rPh sb="2" eb="4">
      <t>キカン</t>
    </rPh>
    <rPh sb="4" eb="5">
      <t>マタ</t>
    </rPh>
    <rPh sb="7" eb="9">
      <t>ツミタ</t>
    </rPh>
    <rPh sb="9" eb="10">
      <t>サキ</t>
    </rPh>
    <rPh sb="11" eb="13">
      <t>メイショウ</t>
    </rPh>
    <phoneticPr fontId="6"/>
  </si>
  <si>
    <t>口座番号・
積立番号等</t>
    <rPh sb="0" eb="2">
      <t>コウザ</t>
    </rPh>
    <rPh sb="2" eb="4">
      <t>バンゴウ</t>
    </rPh>
    <rPh sb="6" eb="8">
      <t>ツミタ</t>
    </rPh>
    <rPh sb="8" eb="10">
      <t>バンゴウ</t>
    </rPh>
    <rPh sb="10" eb="11">
      <t>トウ</t>
    </rPh>
    <phoneticPr fontId="6"/>
  </si>
  <si>
    <t>残高又は
積立総額（円）</t>
    <rPh sb="0" eb="2">
      <t>ザンダカ</t>
    </rPh>
    <rPh sb="2" eb="3">
      <t>マタ</t>
    </rPh>
    <rPh sb="5" eb="7">
      <t>ツミタテ</t>
    </rPh>
    <rPh sb="7" eb="9">
      <t>ソウガク</t>
    </rPh>
    <rPh sb="10" eb="11">
      <t>エン</t>
    </rPh>
    <phoneticPr fontId="6"/>
  </si>
  <si>
    <t>契約書等</t>
    <rPh sb="0" eb="3">
      <t>ケイヤクショ</t>
    </rPh>
    <phoneticPr fontId="2"/>
  </si>
  <si>
    <t>初度登録年</t>
    <rPh sb="0" eb="2">
      <t>ショド</t>
    </rPh>
    <rPh sb="2" eb="4">
      <t>トウロク</t>
    </rPh>
    <rPh sb="4" eb="5">
      <t>ネン</t>
    </rPh>
    <phoneticPr fontId="6"/>
  </si>
  <si>
    <t>証券番号等</t>
    <rPh sb="0" eb="2">
      <t>ショウケン</t>
    </rPh>
    <rPh sb="2" eb="4">
      <t>バンゴウ</t>
    </rPh>
    <rPh sb="4" eb="5">
      <t>トウ</t>
    </rPh>
    <phoneticPr fontId="6"/>
  </si>
  <si>
    <t>備考</t>
    <rPh sb="0" eb="2">
      <t>ビコウ</t>
    </rPh>
    <phoneticPr fontId="2"/>
  </si>
  <si>
    <t>過払金</t>
    <rPh sb="0" eb="1">
      <t>カ</t>
    </rPh>
    <rPh sb="1" eb="2">
      <t>バライ</t>
    </rPh>
    <rPh sb="2" eb="3">
      <t>キン</t>
    </rPh>
    <phoneticPr fontId="5"/>
  </si>
  <si>
    <t>額面額（円）</t>
    <rPh sb="0" eb="2">
      <t>ガクメン</t>
    </rPh>
    <rPh sb="2" eb="3">
      <t>ガク</t>
    </rPh>
    <rPh sb="4" eb="5">
      <t>エン</t>
    </rPh>
    <phoneticPr fontId="6"/>
  </si>
  <si>
    <t>回収費用控除後残金（円）</t>
    <rPh sb="0" eb="2">
      <t>カイシュウ</t>
    </rPh>
    <rPh sb="2" eb="4">
      <t>ヒヨウ</t>
    </rPh>
    <rPh sb="4" eb="6">
      <t>コウジョ</t>
    </rPh>
    <rPh sb="6" eb="7">
      <t>ゴ</t>
    </rPh>
    <rPh sb="7" eb="9">
      <t>ザンキン</t>
    </rPh>
    <rPh sb="10" eb="11">
      <t>エン</t>
    </rPh>
    <phoneticPr fontId="6"/>
  </si>
  <si>
    <t>簿価等
（円）</t>
    <rPh sb="0" eb="2">
      <t>ボカ</t>
    </rPh>
    <rPh sb="2" eb="3">
      <t>トウ</t>
    </rPh>
    <rPh sb="5" eb="6">
      <t>エン</t>
    </rPh>
    <phoneticPr fontId="6"/>
  </si>
  <si>
    <t>回収見込額
（円）</t>
    <rPh sb="0" eb="2">
      <t>カイシュウ</t>
    </rPh>
    <rPh sb="2" eb="5">
      <t>ミコミガク</t>
    </rPh>
    <rPh sb="7" eb="8">
      <t>エン</t>
    </rPh>
    <phoneticPr fontId="6"/>
  </si>
  <si>
    <t>No.</t>
    <phoneticPr fontId="5"/>
  </si>
  <si>
    <t>No.</t>
    <phoneticPr fontId="2"/>
  </si>
  <si>
    <t>□</t>
    <phoneticPr fontId="6"/>
  </si>
  <si>
    <t>□</t>
    <phoneticPr fontId="6"/>
  </si>
  <si>
    <t>No.</t>
    <phoneticPr fontId="2"/>
  </si>
  <si>
    <r>
      <t>地番</t>
    </r>
    <r>
      <rPr>
        <sz val="9"/>
        <color indexed="8"/>
        <rFont val="ＭＳ Ｐ明朝"/>
        <family val="1"/>
        <charset val="128"/>
      </rPr>
      <t>又は</t>
    </r>
    <r>
      <rPr>
        <sz val="11"/>
        <color indexed="8"/>
        <rFont val="ＭＳ Ｐ明朝"/>
        <family val="1"/>
        <charset val="128"/>
      </rPr>
      <t>家屋番号</t>
    </r>
    <rPh sb="0" eb="2">
      <t>チバン</t>
    </rPh>
    <rPh sb="2" eb="3">
      <t>マタ</t>
    </rPh>
    <rPh sb="4" eb="6">
      <t>カオク</t>
    </rPh>
    <rPh sb="6" eb="8">
      <t>バンゴウ</t>
    </rPh>
    <phoneticPr fontId="6"/>
  </si>
  <si>
    <t>TEL
FAX</t>
    <phoneticPr fontId="2"/>
  </si>
  <si>
    <t>TEL
FAX</t>
    <phoneticPr fontId="2"/>
  </si>
  <si>
    <r>
      <t>評価額(固定資産評価証明書)　</t>
    </r>
    <r>
      <rPr>
        <sz val="9"/>
        <color indexed="8"/>
        <rFont val="ＭＳ Ｐ明朝"/>
        <family val="1"/>
        <charset val="128"/>
      </rPr>
      <t>又は</t>
    </r>
    <r>
      <rPr>
        <sz val="11"/>
        <color indexed="8"/>
        <rFont val="ＭＳ Ｐ明朝"/>
        <family val="1"/>
        <charset val="128"/>
      </rPr>
      <t xml:space="preserve">
査定価格(査定書) 
　　　　（円）</t>
    </r>
    <rPh sb="0" eb="3">
      <t>ヒョウカガク</t>
    </rPh>
    <rPh sb="12" eb="13">
      <t>ショ</t>
    </rPh>
    <rPh sb="15" eb="16">
      <t>マタ</t>
    </rPh>
    <rPh sb="18" eb="20">
      <t>サテイ</t>
    </rPh>
    <rPh sb="20" eb="22">
      <t>カカク</t>
    </rPh>
    <rPh sb="34" eb="35">
      <t>エン</t>
    </rPh>
    <phoneticPr fontId="6"/>
  </si>
  <si>
    <t>通帳等</t>
    <rPh sb="0" eb="2">
      <t>ツウチョウ</t>
    </rPh>
    <rPh sb="2" eb="3">
      <t>トウ</t>
    </rPh>
    <phoneticPr fontId="6"/>
  </si>
  <si>
    <t>所有権留保</t>
    <rPh sb="0" eb="3">
      <t>ショユウケン</t>
    </rPh>
    <rPh sb="3" eb="5">
      <t>リュウホ</t>
    </rPh>
    <phoneticPr fontId="6"/>
  </si>
  <si>
    <t>証券等　／　所在場所</t>
    <rPh sb="0" eb="2">
      <t>ショウケン</t>
    </rPh>
    <rPh sb="2" eb="3">
      <t>トウ</t>
    </rPh>
    <rPh sb="6" eb="8">
      <t>ショザイ</t>
    </rPh>
    <rPh sb="8" eb="10">
      <t>バショ</t>
    </rPh>
    <phoneticPr fontId="6"/>
  </si>
  <si>
    <t>処分日</t>
    <rPh sb="0" eb="2">
      <t>ショブン</t>
    </rPh>
    <rPh sb="2" eb="3">
      <t>ヒ</t>
    </rPh>
    <phoneticPr fontId="3"/>
  </si>
  <si>
    <t>登録事項
証明書等</t>
    <rPh sb="0" eb="2">
      <t>トウロク</t>
    </rPh>
    <rPh sb="2" eb="4">
      <t>ジコウ</t>
    </rPh>
    <rPh sb="5" eb="8">
      <t>ショウメイショ</t>
    </rPh>
    <rPh sb="8" eb="9">
      <t>トウ</t>
    </rPh>
    <phoneticPr fontId="6"/>
  </si>
  <si>
    <t>決算書
記載</t>
    <rPh sb="0" eb="3">
      <t>ケッサンショ</t>
    </rPh>
    <rPh sb="4" eb="6">
      <t>キサイ</t>
    </rPh>
    <phoneticPr fontId="3"/>
  </si>
  <si>
    <t>原状回復費用等の見込額（円）</t>
    <rPh sb="0" eb="2">
      <t>ゲンジョウ</t>
    </rPh>
    <rPh sb="2" eb="4">
      <t>カイフク</t>
    </rPh>
    <rPh sb="4" eb="6">
      <t>ヒヨウ</t>
    </rPh>
    <rPh sb="6" eb="7">
      <t>トウ</t>
    </rPh>
    <rPh sb="8" eb="11">
      <t>ミコミガク</t>
    </rPh>
    <rPh sb="12" eb="13">
      <t>エン</t>
    </rPh>
    <phoneticPr fontId="6"/>
  </si>
  <si>
    <t>保険会社名</t>
    <rPh sb="0" eb="2">
      <t>ホケン</t>
    </rPh>
    <rPh sb="2" eb="4">
      <t>カイシャ</t>
    </rPh>
    <rPh sb="4" eb="5">
      <t>ナ</t>
    </rPh>
    <phoneticPr fontId="6"/>
  </si>
  <si>
    <t>雇用主の氏名又は会社名</t>
    <rPh sb="0" eb="3">
      <t>コヨウヌシ</t>
    </rPh>
    <rPh sb="4" eb="6">
      <t>シメイ</t>
    </rPh>
    <rPh sb="6" eb="7">
      <t>マタ</t>
    </rPh>
    <rPh sb="8" eb="11">
      <t>カイシャメイ</t>
    </rPh>
    <phoneticPr fontId="6"/>
  </si>
  <si>
    <t>契約
書等</t>
    <rPh sb="0" eb="2">
      <t>ケイヤク</t>
    </rPh>
    <rPh sb="3" eb="4">
      <t>ショ</t>
    </rPh>
    <rPh sb="4" eb="5">
      <t>トウ</t>
    </rPh>
    <phoneticPr fontId="6"/>
  </si>
  <si>
    <t>相手方の氏名
又は会社名</t>
    <rPh sb="0" eb="3">
      <t>アイテガタ</t>
    </rPh>
    <rPh sb="4" eb="6">
      <t>シメイ</t>
    </rPh>
    <rPh sb="7" eb="8">
      <t>マタ</t>
    </rPh>
    <rPh sb="9" eb="12">
      <t>カイシャメイ</t>
    </rPh>
    <phoneticPr fontId="6"/>
  </si>
  <si>
    <t>□</t>
    <phoneticPr fontId="6"/>
  </si>
  <si>
    <t>□</t>
    <phoneticPr fontId="6"/>
  </si>
  <si>
    <t>名目額
（解約返戻金）（円）</t>
    <rPh sb="0" eb="3">
      <t>メイモクガク</t>
    </rPh>
    <rPh sb="5" eb="7">
      <t>カイヤク</t>
    </rPh>
    <rPh sb="7" eb="10">
      <t>ヘンレイキン</t>
    </rPh>
    <rPh sb="12" eb="13">
      <t>エン</t>
    </rPh>
    <phoneticPr fontId="6"/>
  </si>
  <si>
    <t>合計</t>
    <rPh sb="0" eb="2">
      <t>ゴウケイ</t>
    </rPh>
    <phoneticPr fontId="6"/>
  </si>
  <si>
    <t>退職金
規程</t>
    <rPh sb="0" eb="3">
      <t>タイショクキン</t>
    </rPh>
    <rPh sb="4" eb="6">
      <t>キテイ</t>
    </rPh>
    <phoneticPr fontId="6"/>
  </si>
  <si>
    <r>
      <t xml:space="preserve">財産の内容
</t>
    </r>
    <r>
      <rPr>
        <sz val="10"/>
        <color indexed="8"/>
        <rFont val="ＭＳ Ｐ明朝"/>
        <family val="1"/>
        <charset val="128"/>
      </rPr>
      <t>（ゴルフ会員権・株式・出資金等）</t>
    </r>
    <rPh sb="0" eb="2">
      <t>ザイサン</t>
    </rPh>
    <rPh sb="3" eb="5">
      <t>ナイヨウ</t>
    </rPh>
    <rPh sb="10" eb="13">
      <t>カイインケン</t>
    </rPh>
    <rPh sb="14" eb="16">
      <t>カブシキ</t>
    </rPh>
    <rPh sb="17" eb="19">
      <t>シュッシ</t>
    </rPh>
    <rPh sb="19" eb="20">
      <t>キン</t>
    </rPh>
    <rPh sb="20" eb="21">
      <t>トウ</t>
    </rPh>
    <phoneticPr fontId="6"/>
  </si>
  <si>
    <t>合意額又は
見込み額（円）</t>
    <rPh sb="0" eb="2">
      <t>ゴウイ</t>
    </rPh>
    <rPh sb="2" eb="3">
      <t>ガク</t>
    </rPh>
    <rPh sb="3" eb="4">
      <t>マタ</t>
    </rPh>
    <rPh sb="6" eb="8">
      <t>ミコ</t>
    </rPh>
    <rPh sb="9" eb="10">
      <t>ガク</t>
    </rPh>
    <rPh sb="11" eb="12">
      <t>エン</t>
    </rPh>
    <phoneticPr fontId="6"/>
  </si>
  <si>
    <t>回収費用控除
予定額（円）</t>
    <rPh sb="0" eb="2">
      <t>カイシュウ</t>
    </rPh>
    <rPh sb="2" eb="4">
      <t>ヒヨウ</t>
    </rPh>
    <rPh sb="4" eb="6">
      <t>コウジョ</t>
    </rPh>
    <rPh sb="7" eb="10">
      <t>ヨテイガク</t>
    </rPh>
    <rPh sb="11" eb="12">
      <t>エン</t>
    </rPh>
    <phoneticPr fontId="6"/>
  </si>
  <si>
    <t>合意又は
債務名義
取得</t>
    <rPh sb="0" eb="2">
      <t>ゴウイ</t>
    </rPh>
    <rPh sb="2" eb="3">
      <t>マタ</t>
    </rPh>
    <rPh sb="5" eb="7">
      <t>サイム</t>
    </rPh>
    <rPh sb="7" eb="9">
      <t>メイギ</t>
    </rPh>
    <rPh sb="10" eb="12">
      <t>シュトク</t>
    </rPh>
    <phoneticPr fontId="6"/>
  </si>
  <si>
    <t>ただし，①現金，②預貯金，⑩受取手形・小切手，⑪売掛金，⑬在庫商品（原材料）など，通常流動性が高いと思われる資産については記入する必要がありません。
③保険解約返戻金，④自動車，⑤保証金・敷金，⑧不動産，⑨有価証券，⑫貸付金，⑭機械・工具，⑮什器備品，⑯その他の財産等の資産についてのみ記入してください。</t>
    <rPh sb="129" eb="130">
      <t>タ</t>
    </rPh>
    <rPh sb="131" eb="133">
      <t>ザイサン</t>
    </rPh>
    <phoneticPr fontId="3"/>
  </si>
  <si>
    <t>□</t>
    <phoneticPr fontId="6"/>
  </si>
  <si>
    <t>□</t>
    <phoneticPr fontId="6"/>
  </si>
  <si>
    <t>その他</t>
    <rPh sb="2" eb="3">
      <t>タ</t>
    </rPh>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</si>
</sst>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quot;¥&quot;\-#,##0"/>
    <numFmt numFmtId="6" formatCode="&quot;¥&quot;#,##0;[Red]&quot;¥&quot;\-#,##0"/>
    <numFmt numFmtId="176" formatCode="[&lt;=999]000;000\-00"/>
    <numFmt numFmtId="177" formatCode="0_ "/>
    <numFmt numFmtId="178" formatCode="#,##0_);[Red]\(#,##0\)"/>
    <numFmt numFmtId="179" formatCode="[$-411]ge\.m\.d;@"/>
    <numFmt numFmtId="180" formatCode="&quot;¥&quot;#\!\,##0;[Red]&quot;¥&quot;&quot;¥&quot;\!\-#\!\,##0"/>
    <numFmt numFmtId="181" formatCode="#,##0_ "/>
    <numFmt numFmtId="182" formatCode="#\ "/>
    <numFmt numFmtId="183" formatCode="#"/>
    <numFmt numFmtId="184" formatCode="#,##0_ ;[Red]\-#,##0\ "/>
  </numFmts>
  <fonts count="16">
    <font>
      <sz val="11"/>
      <name val="ＭＳ Ｐゴシック"/>
      <family val="3"/>
      <charset val="128"/>
    </font>
    <font>
      <sz val="11"/>
      <name val="ＭＳ Ｐゴシック"/>
      <family val="3"/>
      <charset val="128"/>
    </font>
    <font>
      <sz val="11"/>
      <name val="ＭＳ 明朝"/>
      <family val="1"/>
      <charset val="128"/>
    </font>
    <font>
      <sz val="6"/>
      <name val="ＭＳ Ｐゴシック"/>
      <family val="3"/>
      <charset val="128"/>
    </font>
    <font>
      <sz val="11"/>
      <name val="明朝"/>
      <family val="1"/>
      <charset val="128"/>
    </font>
    <font>
      <sz val="6"/>
      <name val="ＭＳ Ｐ明朝"/>
      <family val="1"/>
      <charset val="128"/>
    </font>
    <font>
      <sz val="6"/>
      <name val="明朝"/>
      <family val="3"/>
      <charset val="128"/>
    </font>
    <font>
      <sz val="11"/>
      <name val="ＭＳ Ｐゴシック"/>
      <family val="3"/>
      <charset val="128"/>
    </font>
    <font>
      <sz val="11"/>
      <name val="ＭＳ Ｐ明朝"/>
      <family val="1"/>
      <charset val="128"/>
    </font>
    <font>
      <sz val="9"/>
      <name val="ＭＳ 明朝"/>
      <family val="1"/>
      <charset val="128"/>
    </font>
    <font>
      <sz val="9"/>
      <color indexed="81"/>
      <name val="ＭＳ Ｐゴシック"/>
      <family val="3"/>
      <charset val="128"/>
    </font>
    <font>
      <sz val="11"/>
      <color indexed="8"/>
      <name val="ＭＳ Ｐ明朝"/>
      <family val="1"/>
      <charset val="128"/>
    </font>
    <font>
      <sz val="9"/>
      <color indexed="8"/>
      <name val="ＭＳ Ｐ明朝"/>
      <family val="1"/>
      <charset val="128"/>
    </font>
    <font>
      <sz val="10"/>
      <color indexed="8"/>
      <name val="ＭＳ Ｐ明朝"/>
      <family val="1"/>
      <charset val="128"/>
    </font>
    <font>
      <sz val="11"/>
      <color indexed="8"/>
      <name val="ＭＳ Ｐゴシック"/>
      <family val="3"/>
      <charset val="128"/>
    </font>
    <font>
      <sz val="8"/>
      <color indexed="8"/>
      <name val="ＭＳ Ｐ明朝"/>
      <family val="1"/>
      <charset val="128"/>
    </font>
  </fonts>
  <fills count="3">
    <fill>
      <patternFill patternType="none"/>
    </fill>
    <fill>
      <patternFill patternType="gray125"/>
    </fill>
    <fill>
      <patternFill patternType="solid">
        <fgColor indexed="9"/>
        <bgColor indexed="64"/>
      </patternFill>
    </fill>
  </fills>
  <borders count="1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double">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double">
        <color indexed="64"/>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6" fontId="1" fillId="0" borderId="0" applyFont="0" applyFill="0" applyBorder="0" applyAlignment="0" applyProtection="0"/>
    <xf numFmtId="180" fontId="7" fillId="0" borderId="0" applyFont="0" applyFill="0" applyBorder="0" applyAlignment="0" applyProtection="0"/>
    <xf numFmtId="0" fontId="4" fillId="0" borderId="0"/>
    <xf numFmtId="0" fontId="4" fillId="0" borderId="0"/>
    <xf numFmtId="38" fontId="1" fillId="0" borderId="0" applyFont="0" applyFill="0" applyBorder="0" applyAlignment="0" applyProtection="0">
      <alignment vertical="center"/>
    </xf>
  </cellStyleXfs>
  <cellXfs count="246">
    <xf numFmtId="0" fontId="0" fillId="0" borderId="0" xfId="0"/>
    <xf numFmtId="0" fontId="8" fillId="0" borderId="1" xfId="3" applyFont="1" applyBorder="1" applyAlignment="1">
      <alignment horizontal="center" vertical="center"/>
    </xf>
    <xf numFmtId="0" fontId="8" fillId="0" borderId="0" xfId="3" applyFont="1" applyAlignment="1">
      <alignment horizontal="center" vertical="center"/>
    </xf>
    <xf numFmtId="0" fontId="8" fillId="0" borderId="2" xfId="3" applyFont="1" applyBorder="1" applyAlignment="1">
      <alignment horizontal="center" vertical="center"/>
    </xf>
    <xf numFmtId="0" fontId="8" fillId="0" borderId="0" xfId="3" applyFont="1" applyBorder="1" applyAlignment="1">
      <alignment horizontal="center" vertical="center"/>
    </xf>
    <xf numFmtId="3" fontId="8" fillId="0" borderId="0" xfId="3" applyNumberFormat="1" applyFont="1" applyAlignment="1">
      <alignment vertical="center"/>
    </xf>
    <xf numFmtId="0" fontId="8" fillId="0" borderId="0" xfId="3" applyFont="1" applyAlignment="1">
      <alignment vertical="center"/>
    </xf>
    <xf numFmtId="3" fontId="8" fillId="0" borderId="0" xfId="3" applyNumberFormat="1" applyFont="1" applyBorder="1" applyAlignment="1">
      <alignment horizontal="center" vertical="center"/>
    </xf>
    <xf numFmtId="3" fontId="8" fillId="0" borderId="0" xfId="3" applyNumberFormat="1" applyFont="1" applyAlignment="1">
      <alignment horizontal="center" vertical="center"/>
    </xf>
    <xf numFmtId="181" fontId="8" fillId="0" borderId="2" xfId="3" applyNumberFormat="1" applyFont="1" applyBorder="1" applyAlignment="1">
      <alignment vertical="center"/>
    </xf>
    <xf numFmtId="181" fontId="8" fillId="0" borderId="1" xfId="3" applyNumberFormat="1" applyFont="1" applyBorder="1" applyAlignment="1">
      <alignment vertical="center"/>
    </xf>
    <xf numFmtId="181" fontId="8" fillId="0" borderId="0" xfId="3" applyNumberFormat="1" applyFont="1" applyAlignment="1">
      <alignment vertical="center"/>
    </xf>
    <xf numFmtId="0" fontId="8" fillId="0" borderId="0" xfId="0" applyFont="1" applyAlignment="1">
      <alignment horizontal="center" vertical="center" wrapText="1"/>
    </xf>
    <xf numFmtId="49" fontId="8" fillId="0" borderId="0" xfId="0" applyNumberFormat="1" applyFont="1" applyAlignment="1">
      <alignment horizontal="center" vertical="center" wrapText="1"/>
    </xf>
    <xf numFmtId="0" fontId="8" fillId="0" borderId="0" xfId="0" applyFont="1" applyAlignment="1">
      <alignment horizontal="left" vertical="center" wrapText="1"/>
    </xf>
    <xf numFmtId="176" fontId="8" fillId="0" borderId="0" xfId="0" applyNumberFormat="1" applyFont="1" applyAlignment="1">
      <alignment horizontal="center" vertical="center" wrapText="1"/>
    </xf>
    <xf numFmtId="181" fontId="8" fillId="0" borderId="0" xfId="0" applyNumberFormat="1" applyFont="1" applyAlignment="1">
      <alignment horizontal="center" vertical="center" wrapText="1"/>
    </xf>
    <xf numFmtId="181" fontId="8" fillId="0" borderId="0" xfId="0" applyNumberFormat="1" applyFont="1" applyAlignment="1">
      <alignment horizontal="right" vertical="center" wrapText="1"/>
    </xf>
    <xf numFmtId="38" fontId="8" fillId="0" borderId="0" xfId="0" applyNumberFormat="1" applyFont="1" applyAlignment="1">
      <alignment horizontal="center" vertical="center" shrinkToFit="1"/>
    </xf>
    <xf numFmtId="179" fontId="8" fillId="0" borderId="0" xfId="0" applyNumberFormat="1" applyFont="1" applyAlignment="1">
      <alignment horizontal="center" vertical="center" wrapText="1"/>
    </xf>
    <xf numFmtId="181" fontId="8" fillId="0" borderId="2" xfId="3" applyNumberFormat="1" applyFont="1" applyBorder="1" applyAlignment="1">
      <alignment horizontal="right" vertical="center"/>
    </xf>
    <xf numFmtId="181" fontId="8" fillId="0" borderId="1" xfId="3" applyNumberFormat="1" applyFont="1" applyBorder="1" applyAlignment="1">
      <alignment horizontal="right" vertical="center"/>
    </xf>
    <xf numFmtId="0" fontId="8" fillId="0" borderId="0" xfId="4" applyFont="1" applyAlignment="1">
      <alignment horizontal="center" vertical="center" wrapText="1"/>
    </xf>
    <xf numFmtId="181" fontId="8" fillId="0" borderId="0" xfId="4" applyNumberFormat="1" applyFont="1" applyAlignment="1">
      <alignment horizontal="center" vertical="center" wrapText="1"/>
    </xf>
    <xf numFmtId="0" fontId="8" fillId="0" borderId="0" xfId="4" applyFont="1" applyAlignment="1">
      <alignment horizontal="right" vertical="center" wrapText="1"/>
    </xf>
    <xf numFmtId="181" fontId="8" fillId="0" borderId="1" xfId="4" applyNumberFormat="1" applyFont="1" applyBorder="1" applyAlignment="1">
      <alignment horizontal="right" vertical="center" wrapText="1"/>
    </xf>
    <xf numFmtId="181" fontId="8" fillId="0" borderId="2" xfId="4" applyNumberFormat="1" applyFont="1" applyBorder="1" applyAlignment="1">
      <alignment horizontal="right" vertical="center" wrapText="1"/>
    </xf>
    <xf numFmtId="181" fontId="8" fillId="0" borderId="0" xfId="4" applyNumberFormat="1" applyFont="1" applyAlignment="1">
      <alignment horizontal="right" vertical="center" wrapText="1"/>
    </xf>
    <xf numFmtId="181" fontId="8" fillId="0" borderId="0" xfId="3" applyNumberFormat="1" applyFont="1" applyAlignment="1">
      <alignment horizontal="center" vertical="center"/>
    </xf>
    <xf numFmtId="0" fontId="8" fillId="0" borderId="0" xfId="0" applyFont="1" applyBorder="1" applyAlignment="1">
      <alignment vertical="center" wrapText="1"/>
    </xf>
    <xf numFmtId="0" fontId="8" fillId="0" borderId="0" xfId="0" applyFont="1" applyAlignment="1">
      <alignment vertical="center" wrapText="1"/>
    </xf>
    <xf numFmtId="0" fontId="8" fillId="0" borderId="2" xfId="3" applyNumberFormat="1" applyFont="1" applyBorder="1" applyAlignment="1">
      <alignment horizontal="center" vertical="center"/>
    </xf>
    <xf numFmtId="0" fontId="8" fillId="0" borderId="0" xfId="3" applyNumberFormat="1" applyFont="1" applyAlignment="1">
      <alignment horizontal="center" vertical="center"/>
    </xf>
    <xf numFmtId="0" fontId="8" fillId="0" borderId="0" xfId="4" applyFont="1" applyBorder="1" applyAlignment="1">
      <alignment horizontal="right" vertical="center" wrapText="1"/>
    </xf>
    <xf numFmtId="0" fontId="2" fillId="0" borderId="0" xfId="0" applyFont="1" applyAlignment="1">
      <alignment vertical="center"/>
    </xf>
    <xf numFmtId="57" fontId="2" fillId="0" borderId="0" xfId="0" applyNumberFormat="1" applyFont="1" applyAlignment="1">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right" vertical="center"/>
    </xf>
    <xf numFmtId="5" fontId="2" fillId="0" borderId="0" xfId="0" applyNumberFormat="1" applyFont="1" applyAlignment="1">
      <alignment horizontal="right" vertical="center"/>
    </xf>
    <xf numFmtId="5" fontId="2" fillId="0" borderId="0" xfId="0" applyNumberFormat="1" applyFont="1" applyAlignment="1">
      <alignment vertical="center"/>
    </xf>
    <xf numFmtId="0" fontId="2" fillId="0" borderId="0" xfId="0" applyNumberFormat="1" applyFont="1" applyAlignment="1">
      <alignment horizontal="center" vertical="center" shrinkToFit="1"/>
    </xf>
    <xf numFmtId="179" fontId="8" fillId="0" borderId="1" xfId="3" applyNumberFormat="1" applyFont="1" applyBorder="1" applyAlignment="1">
      <alignment horizontal="center" vertical="center"/>
    </xf>
    <xf numFmtId="179" fontId="8" fillId="0" borderId="2" xfId="3" applyNumberFormat="1" applyFont="1" applyBorder="1" applyAlignment="1">
      <alignment horizontal="center" vertical="center"/>
    </xf>
    <xf numFmtId="0" fontId="8" fillId="0" borderId="0" xfId="4" applyFont="1" applyFill="1" applyAlignment="1">
      <alignment horizontal="center" vertical="center" wrapText="1"/>
    </xf>
    <xf numFmtId="0" fontId="8" fillId="0" borderId="0" xfId="3" applyFont="1" applyFill="1" applyAlignment="1">
      <alignment vertical="center"/>
    </xf>
    <xf numFmtId="0" fontId="8" fillId="0" borderId="0" xfId="0" applyFont="1" applyFill="1" applyAlignment="1">
      <alignment horizontal="center" vertical="center" wrapText="1"/>
    </xf>
    <xf numFmtId="0" fontId="2" fillId="2" borderId="3" xfId="0" applyFont="1" applyFill="1" applyBorder="1" applyAlignment="1">
      <alignment horizontal="center" vertical="center"/>
    </xf>
    <xf numFmtId="5" fontId="2" fillId="2" borderId="3" xfId="0" applyNumberFormat="1" applyFont="1" applyFill="1" applyBorder="1" applyAlignment="1">
      <alignment horizontal="center" vertical="center"/>
    </xf>
    <xf numFmtId="5" fontId="2" fillId="2" borderId="3" xfId="0" applyNumberFormat="1" applyFont="1" applyFill="1" applyBorder="1" applyAlignment="1">
      <alignment horizontal="center" vertical="center" shrinkToFit="1"/>
    </xf>
    <xf numFmtId="0" fontId="2" fillId="2" borderId="3" xfId="0" applyNumberFormat="1" applyFont="1" applyFill="1" applyBorder="1" applyAlignment="1">
      <alignment horizontal="center" vertical="center" shrinkToFit="1"/>
    </xf>
    <xf numFmtId="49" fontId="8" fillId="0" borderId="0" xfId="4" applyNumberFormat="1" applyFont="1" applyAlignment="1">
      <alignment horizontal="center" vertical="center" wrapText="1"/>
    </xf>
    <xf numFmtId="0" fontId="2" fillId="0" borderId="0" xfId="0" applyFont="1" applyAlignment="1">
      <alignment horizontal="center" vertical="top"/>
    </xf>
    <xf numFmtId="0" fontId="2" fillId="0" borderId="4" xfId="0" applyFont="1" applyBorder="1" applyAlignment="1">
      <alignment horizontal="center" vertical="top" wrapText="1"/>
    </xf>
    <xf numFmtId="0" fontId="2" fillId="2" borderId="3" xfId="0" applyNumberFormat="1" applyFont="1" applyFill="1" applyBorder="1" applyAlignment="1">
      <alignment horizontal="center" vertical="center" wrapText="1" shrinkToFit="1"/>
    </xf>
    <xf numFmtId="57" fontId="2" fillId="0" borderId="0" xfId="0" applyNumberFormat="1" applyFont="1" applyAlignment="1">
      <alignment horizontal="center" vertical="center"/>
    </xf>
    <xf numFmtId="49" fontId="8" fillId="0" borderId="0" xfId="4" applyNumberFormat="1" applyFont="1" applyBorder="1" applyAlignment="1">
      <alignment horizontal="center" vertical="center" wrapText="1"/>
    </xf>
    <xf numFmtId="0" fontId="8" fillId="0" borderId="0" xfId="4" applyFont="1" applyBorder="1" applyAlignment="1">
      <alignment horizontal="center" vertical="center" wrapText="1"/>
    </xf>
    <xf numFmtId="0" fontId="8" fillId="0" borderId="3" xfId="3" applyFont="1" applyFill="1" applyBorder="1" applyAlignment="1">
      <alignment horizontal="center" vertical="center"/>
    </xf>
    <xf numFmtId="0" fontId="8" fillId="0" borderId="3" xfId="3" applyFont="1" applyFill="1" applyBorder="1" applyAlignment="1">
      <alignment horizontal="center" vertical="center" wrapText="1"/>
    </xf>
    <xf numFmtId="181" fontId="8" fillId="0" borderId="3" xfId="3" applyNumberFormat="1" applyFont="1" applyFill="1" applyBorder="1" applyAlignment="1">
      <alignment horizontal="center" vertical="center" wrapText="1"/>
    </xf>
    <xf numFmtId="181" fontId="8" fillId="0" borderId="3" xfId="3" applyNumberFormat="1" applyFont="1" applyFill="1" applyBorder="1" applyAlignment="1">
      <alignment horizontal="center" vertical="center"/>
    </xf>
    <xf numFmtId="0" fontId="8" fillId="0" borderId="3" xfId="3" applyNumberFormat="1" applyFont="1" applyFill="1" applyBorder="1" applyAlignment="1">
      <alignment horizontal="center" vertical="center"/>
    </xf>
    <xf numFmtId="181" fontId="8" fillId="0" borderId="0" xfId="3" applyNumberFormat="1" applyFont="1" applyBorder="1" applyAlignment="1">
      <alignment horizontal="right" vertical="center"/>
    </xf>
    <xf numFmtId="181" fontId="8" fillId="0" borderId="0" xfId="3" applyNumberFormat="1" applyFont="1" applyBorder="1" applyAlignment="1">
      <alignment vertical="center"/>
    </xf>
    <xf numFmtId="3" fontId="8" fillId="0" borderId="5" xfId="3" applyNumberFormat="1" applyFont="1" applyBorder="1" applyAlignment="1">
      <alignment vertical="center" shrinkToFit="1"/>
    </xf>
    <xf numFmtId="3" fontId="8" fillId="0" borderId="5" xfId="3" applyNumberFormat="1" applyFont="1" applyBorder="1" applyAlignment="1">
      <alignment vertical="center"/>
    </xf>
    <xf numFmtId="179" fontId="8" fillId="0" borderId="1" xfId="3" applyNumberFormat="1" applyFont="1" applyBorder="1" applyAlignment="1">
      <alignment horizontal="center" vertical="center" shrinkToFit="1"/>
    </xf>
    <xf numFmtId="0" fontId="11" fillId="0" borderId="3" xfId="3" applyFont="1" applyFill="1" applyBorder="1" applyAlignment="1">
      <alignment horizontal="center" vertical="center"/>
    </xf>
    <xf numFmtId="0" fontId="11" fillId="0" borderId="3" xfId="3" applyFont="1" applyFill="1" applyBorder="1" applyAlignment="1">
      <alignment horizontal="center" vertical="center" wrapText="1"/>
    </xf>
    <xf numFmtId="181" fontId="11" fillId="0" borderId="3" xfId="3" applyNumberFormat="1" applyFont="1" applyFill="1" applyBorder="1" applyAlignment="1">
      <alignment horizontal="center" vertical="center" wrapText="1"/>
    </xf>
    <xf numFmtId="0" fontId="11" fillId="0" borderId="1" xfId="3" applyFont="1" applyBorder="1" applyAlignment="1">
      <alignment horizontal="center" vertical="center"/>
    </xf>
    <xf numFmtId="183" fontId="11" fillId="0" borderId="1" xfId="3" applyNumberFormat="1" applyFont="1" applyBorder="1" applyAlignment="1">
      <alignment horizontal="center" vertical="center"/>
    </xf>
    <xf numFmtId="181" fontId="11" fillId="0" borderId="1" xfId="3" applyNumberFormat="1" applyFont="1" applyBorder="1" applyAlignment="1">
      <alignment vertical="center"/>
    </xf>
    <xf numFmtId="0" fontId="11" fillId="0" borderId="2" xfId="3" applyFont="1" applyBorder="1" applyAlignment="1">
      <alignment horizontal="center" vertical="center"/>
    </xf>
    <xf numFmtId="181" fontId="11" fillId="0" borderId="2" xfId="3" applyNumberFormat="1" applyFont="1" applyBorder="1" applyAlignment="1">
      <alignment vertical="center"/>
    </xf>
    <xf numFmtId="3" fontId="11" fillId="0" borderId="2" xfId="3" applyNumberFormat="1" applyFont="1" applyBorder="1" applyAlignment="1">
      <alignment horizontal="center" vertical="center"/>
    </xf>
    <xf numFmtId="3" fontId="11" fillId="0" borderId="2" xfId="3" applyNumberFormat="1" applyFont="1" applyBorder="1" applyAlignment="1">
      <alignment vertical="center"/>
    </xf>
    <xf numFmtId="0" fontId="11" fillId="0" borderId="2" xfId="3" applyFont="1" applyBorder="1" applyAlignment="1">
      <alignment horizontal="center" vertical="center" wrapText="1"/>
    </xf>
    <xf numFmtId="0" fontId="11" fillId="0" borderId="0" xfId="3" applyFont="1" applyBorder="1" applyAlignment="1">
      <alignment horizontal="center" vertical="center"/>
    </xf>
    <xf numFmtId="0" fontId="11" fillId="0" borderId="0" xfId="3" applyFont="1" applyAlignment="1">
      <alignment horizontal="center" vertical="center"/>
    </xf>
    <xf numFmtId="0" fontId="11" fillId="0" borderId="0" xfId="3" applyFont="1" applyBorder="1" applyAlignment="1">
      <alignment vertical="center"/>
    </xf>
    <xf numFmtId="3" fontId="11" fillId="0" borderId="0" xfId="3" applyNumberFormat="1" applyFont="1" applyBorder="1" applyAlignment="1">
      <alignment vertical="center"/>
    </xf>
    <xf numFmtId="49" fontId="11" fillId="0" borderId="3" xfId="4" applyNumberFormat="1" applyFont="1" applyFill="1" applyBorder="1" applyAlignment="1">
      <alignment horizontal="center" vertical="center" wrapText="1"/>
    </xf>
    <xf numFmtId="0" fontId="11" fillId="0" borderId="3" xfId="4" applyFont="1" applyFill="1" applyBorder="1" applyAlignment="1">
      <alignment horizontal="center" vertical="center" wrapText="1"/>
    </xf>
    <xf numFmtId="181" fontId="11" fillId="0" borderId="3" xfId="4" applyNumberFormat="1" applyFont="1" applyFill="1" applyBorder="1" applyAlignment="1">
      <alignment horizontal="center" vertical="center" wrapText="1"/>
    </xf>
    <xf numFmtId="0" fontId="11" fillId="0" borderId="0" xfId="4" applyFont="1" applyFill="1" applyAlignment="1">
      <alignment horizontal="center" vertical="center" wrapText="1"/>
    </xf>
    <xf numFmtId="49" fontId="11" fillId="0" borderId="1" xfId="4" applyNumberFormat="1" applyFont="1" applyBorder="1" applyAlignment="1">
      <alignment horizontal="center" vertical="center" wrapText="1"/>
    </xf>
    <xf numFmtId="0" fontId="11" fillId="0" borderId="2" xfId="4" applyFont="1" applyBorder="1" applyAlignment="1">
      <alignment horizontal="distributed" vertical="center" wrapText="1"/>
    </xf>
    <xf numFmtId="181" fontId="11" fillId="0" borderId="1" xfId="4" applyNumberFormat="1" applyFont="1" applyBorder="1" applyAlignment="1">
      <alignment horizontal="right" vertical="center" wrapText="1"/>
    </xf>
    <xf numFmtId="0" fontId="11" fillId="0" borderId="0" xfId="4" applyFont="1" applyAlignment="1">
      <alignment horizontal="center" vertical="center" wrapText="1"/>
    </xf>
    <xf numFmtId="0" fontId="11" fillId="0" borderId="1" xfId="4" applyNumberFormat="1" applyFont="1" applyBorder="1" applyAlignment="1">
      <alignment horizontal="center" vertical="center" wrapText="1"/>
    </xf>
    <xf numFmtId="181" fontId="11" fillId="0" borderId="2" xfId="4" applyNumberFormat="1" applyFont="1" applyBorder="1" applyAlignment="1">
      <alignment horizontal="right" vertical="center" wrapText="1"/>
    </xf>
    <xf numFmtId="38" fontId="11" fillId="0" borderId="2" xfId="4" applyNumberFormat="1" applyFont="1" applyBorder="1" applyAlignment="1">
      <alignment horizontal="right" vertical="center" wrapText="1"/>
    </xf>
    <xf numFmtId="182" fontId="11" fillId="0" borderId="2" xfId="0" applyNumberFormat="1" applyFont="1" applyBorder="1" applyAlignment="1">
      <alignment horizontal="center" vertical="center"/>
    </xf>
    <xf numFmtId="183" fontId="11" fillId="0" borderId="2" xfId="3" applyNumberFormat="1" applyFont="1" applyBorder="1" applyAlignment="1">
      <alignment horizontal="center" vertical="center"/>
    </xf>
    <xf numFmtId="182" fontId="11" fillId="0" borderId="1" xfId="0" applyNumberFormat="1" applyFont="1" applyBorder="1" applyAlignment="1">
      <alignment horizontal="center" vertical="center"/>
    </xf>
    <xf numFmtId="181" fontId="11" fillId="0" borderId="1" xfId="4" applyNumberFormat="1" applyFont="1" applyFill="1" applyBorder="1" applyAlignment="1">
      <alignment horizontal="right" vertical="center" wrapText="1"/>
    </xf>
    <xf numFmtId="183" fontId="11" fillId="0" borderId="2" xfId="3" applyNumberFormat="1" applyFont="1" applyBorder="1" applyAlignment="1">
      <alignment horizontal="center" vertical="center" wrapText="1"/>
    </xf>
    <xf numFmtId="0" fontId="11" fillId="0" borderId="1" xfId="3" applyNumberFormat="1" applyFont="1" applyBorder="1" applyAlignment="1">
      <alignment horizontal="center" vertical="center"/>
    </xf>
    <xf numFmtId="181" fontId="11" fillId="0" borderId="1" xfId="4" applyNumberFormat="1" applyFont="1" applyBorder="1" applyAlignment="1">
      <alignment vertical="center" wrapText="1"/>
    </xf>
    <xf numFmtId="3" fontId="11" fillId="0" borderId="0" xfId="3" applyNumberFormat="1" applyFont="1" applyAlignment="1">
      <alignment horizontal="center" vertical="center"/>
    </xf>
    <xf numFmtId="0" fontId="11" fillId="0" borderId="0" xfId="3" applyFont="1" applyAlignment="1">
      <alignment vertical="center"/>
    </xf>
    <xf numFmtId="3" fontId="11" fillId="0" borderId="0" xfId="3" applyNumberFormat="1" applyFont="1" applyBorder="1" applyAlignment="1">
      <alignment horizontal="center" vertical="center"/>
    </xf>
    <xf numFmtId="0" fontId="11" fillId="0" borderId="4" xfId="3" applyFont="1" applyBorder="1" applyAlignment="1">
      <alignment horizontal="center" vertical="center"/>
    </xf>
    <xf numFmtId="181" fontId="11" fillId="0" borderId="1" xfId="3" applyNumberFormat="1" applyFont="1" applyBorder="1" applyAlignment="1">
      <alignment horizontal="right" vertical="center"/>
    </xf>
    <xf numFmtId="181" fontId="11" fillId="0" borderId="3" xfId="3" applyNumberFormat="1" applyFont="1" applyFill="1" applyBorder="1" applyAlignment="1">
      <alignment horizontal="center" vertical="center"/>
    </xf>
    <xf numFmtId="0" fontId="11" fillId="0" borderId="2" xfId="3" applyFont="1" applyBorder="1" applyAlignment="1">
      <alignment horizontal="left" vertical="center"/>
    </xf>
    <xf numFmtId="0" fontId="11" fillId="0" borderId="2" xfId="3" applyFont="1" applyBorder="1" applyAlignment="1">
      <alignment horizontal="left" vertical="center" wrapText="1"/>
    </xf>
    <xf numFmtId="181" fontId="11" fillId="0" borderId="2" xfId="3" applyNumberFormat="1" applyFont="1" applyBorder="1" applyAlignment="1">
      <alignment horizontal="center" vertical="center"/>
    </xf>
    <xf numFmtId="3" fontId="11" fillId="0" borderId="1" xfId="3" applyNumberFormat="1" applyFont="1" applyBorder="1" applyAlignment="1">
      <alignment vertical="center"/>
    </xf>
    <xf numFmtId="3" fontId="11" fillId="0" borderId="2" xfId="3" applyNumberFormat="1" applyFont="1" applyBorder="1" applyAlignment="1">
      <alignment horizontal="right" vertical="center"/>
    </xf>
    <xf numFmtId="181" fontId="11" fillId="0" borderId="6" xfId="3" applyNumberFormat="1" applyFont="1" applyBorder="1" applyAlignment="1">
      <alignment horizontal="right" vertical="center"/>
    </xf>
    <xf numFmtId="181" fontId="11" fillId="0" borderId="5" xfId="3" applyNumberFormat="1" applyFont="1" applyBorder="1" applyAlignment="1">
      <alignment horizontal="right" vertical="center"/>
    </xf>
    <xf numFmtId="0" fontId="11" fillId="0" borderId="7" xfId="3" applyFont="1" applyFill="1" applyBorder="1" applyAlignment="1">
      <alignment horizontal="center" vertical="center" wrapText="1"/>
    </xf>
    <xf numFmtId="181" fontId="11" fillId="0" borderId="3" xfId="3" applyNumberFormat="1" applyFont="1" applyFill="1" applyBorder="1" applyAlignment="1">
      <alignment vertical="center" wrapText="1"/>
    </xf>
    <xf numFmtId="0" fontId="11" fillId="0" borderId="3" xfId="3" applyFont="1" applyFill="1" applyBorder="1" applyAlignment="1">
      <alignment horizontal="center" vertical="center" textRotation="255" wrapText="1"/>
    </xf>
    <xf numFmtId="3" fontId="11" fillId="0" borderId="0" xfId="3" applyNumberFormat="1" applyFont="1" applyAlignment="1">
      <alignment vertical="center"/>
    </xf>
    <xf numFmtId="181" fontId="11" fillId="0" borderId="1" xfId="3" applyNumberFormat="1" applyFont="1" applyBorder="1" applyAlignment="1">
      <alignment horizontal="center" vertical="center"/>
    </xf>
    <xf numFmtId="49" fontId="11" fillId="0" borderId="1" xfId="3" applyNumberFormat="1" applyFont="1" applyBorder="1" applyAlignment="1">
      <alignment horizontal="center" vertical="center"/>
    </xf>
    <xf numFmtId="49" fontId="11" fillId="0" borderId="2" xfId="3" applyNumberFormat="1" applyFont="1" applyBorder="1" applyAlignment="1">
      <alignment horizontal="center" vertical="center"/>
    </xf>
    <xf numFmtId="181" fontId="11" fillId="0" borderId="0" xfId="3" applyNumberFormat="1" applyFont="1" applyAlignment="1">
      <alignment horizontal="center" vertical="center"/>
    </xf>
    <xf numFmtId="49" fontId="11" fillId="0" borderId="3" xfId="0" applyNumberFormat="1" applyFont="1" applyFill="1" applyBorder="1" applyAlignment="1">
      <alignment horizontal="center" vertical="center" wrapText="1"/>
    </xf>
    <xf numFmtId="0" fontId="11" fillId="0" borderId="3" xfId="0" applyFont="1" applyFill="1" applyBorder="1" applyAlignment="1">
      <alignment horizontal="center" vertical="center" wrapText="1"/>
    </xf>
    <xf numFmtId="176" fontId="11" fillId="0" borderId="3" xfId="0" applyNumberFormat="1" applyFont="1" applyFill="1" applyBorder="1" applyAlignment="1">
      <alignment horizontal="center" vertical="center" wrapText="1"/>
    </xf>
    <xf numFmtId="38" fontId="11" fillId="0" borderId="3" xfId="0" applyNumberFormat="1" applyFont="1" applyFill="1" applyBorder="1" applyAlignment="1">
      <alignment horizontal="center" vertical="center" shrinkToFit="1"/>
    </xf>
    <xf numFmtId="179" fontId="11" fillId="0" borderId="3" xfId="0" applyNumberFormat="1" applyFont="1" applyFill="1" applyBorder="1" applyAlignment="1">
      <alignment horizontal="center" vertical="center" wrapText="1"/>
    </xf>
    <xf numFmtId="181" fontId="11" fillId="0" borderId="3" xfId="0" applyNumberFormat="1" applyFont="1" applyFill="1" applyBorder="1" applyAlignment="1">
      <alignment horizontal="center" vertical="center" wrapText="1"/>
    </xf>
    <xf numFmtId="0" fontId="11"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179" fontId="11" fillId="0" borderId="1" xfId="0" applyNumberFormat="1" applyFont="1" applyBorder="1" applyAlignment="1">
      <alignment horizontal="center" vertical="center" wrapText="1"/>
    </xf>
    <xf numFmtId="181" fontId="11" fillId="0" borderId="1" xfId="0" applyNumberFormat="1" applyFont="1" applyBorder="1" applyAlignment="1">
      <alignment horizontal="right" vertical="center" wrapText="1"/>
    </xf>
    <xf numFmtId="181" fontId="11" fillId="0" borderId="1" xfId="1" applyNumberFormat="1" applyFont="1" applyBorder="1" applyAlignment="1">
      <alignment horizontal="right" vertical="center"/>
    </xf>
    <xf numFmtId="0" fontId="11" fillId="0" borderId="2" xfId="0" applyNumberFormat="1" applyFont="1" applyBorder="1" applyAlignment="1">
      <alignment horizontal="center" vertical="center" wrapText="1"/>
    </xf>
    <xf numFmtId="176" fontId="11" fillId="0" borderId="2" xfId="0" applyNumberFormat="1" applyFont="1" applyBorder="1" applyAlignment="1">
      <alignment horizontal="center" vertical="center" wrapText="1"/>
    </xf>
    <xf numFmtId="0" fontId="11" fillId="0" borderId="2" xfId="0" applyFont="1" applyBorder="1" applyAlignment="1">
      <alignment horizontal="left" vertical="center" wrapText="1"/>
    </xf>
    <xf numFmtId="49" fontId="11" fillId="0" borderId="2" xfId="0" applyNumberFormat="1" applyFont="1" applyBorder="1" applyAlignment="1">
      <alignment horizontal="center" vertical="center" wrapText="1"/>
    </xf>
    <xf numFmtId="181" fontId="11" fillId="0" borderId="2" xfId="0" applyNumberFormat="1" applyFont="1" applyBorder="1" applyAlignment="1">
      <alignment horizontal="right" vertical="center" wrapText="1"/>
    </xf>
    <xf numFmtId="179" fontId="11" fillId="0" borderId="2" xfId="0" applyNumberFormat="1" applyFont="1" applyBorder="1" applyAlignment="1">
      <alignment horizontal="center" vertical="center" wrapText="1"/>
    </xf>
    <xf numFmtId="49" fontId="11" fillId="0" borderId="0" xfId="0" applyNumberFormat="1" applyFont="1" applyBorder="1" applyAlignment="1">
      <alignment horizontal="center" vertical="center" wrapText="1"/>
    </xf>
    <xf numFmtId="0" fontId="11" fillId="0" borderId="0" xfId="0" applyFont="1" applyBorder="1" applyAlignment="1">
      <alignment horizontal="center" vertical="center" wrapText="1"/>
    </xf>
    <xf numFmtId="176" fontId="11" fillId="0" borderId="0" xfId="0" applyNumberFormat="1" applyFont="1" applyBorder="1" applyAlignment="1">
      <alignment horizontal="center" vertical="center" wrapText="1"/>
    </xf>
    <xf numFmtId="0" fontId="11" fillId="0" borderId="0" xfId="0" applyFont="1" applyBorder="1" applyAlignment="1">
      <alignment horizontal="left" vertical="center" wrapText="1"/>
    </xf>
    <xf numFmtId="38" fontId="11" fillId="0" borderId="0" xfId="0" applyNumberFormat="1" applyFont="1" applyBorder="1" applyAlignment="1">
      <alignment horizontal="center" vertical="center" shrinkToFit="1"/>
    </xf>
    <xf numFmtId="38" fontId="11" fillId="0" borderId="3" xfId="0" applyNumberFormat="1" applyFont="1" applyFill="1" applyBorder="1" applyAlignment="1">
      <alignment horizontal="center" vertical="center" wrapText="1"/>
    </xf>
    <xf numFmtId="0" fontId="11" fillId="0" borderId="3" xfId="0" applyNumberFormat="1" applyFont="1" applyFill="1" applyBorder="1" applyAlignment="1">
      <alignment horizontal="center" vertical="center" wrapText="1"/>
    </xf>
    <xf numFmtId="0" fontId="11" fillId="0" borderId="0" xfId="0" applyFont="1" applyFill="1" applyAlignment="1">
      <alignment horizontal="center" vertical="center" wrapText="1"/>
    </xf>
    <xf numFmtId="0" fontId="11" fillId="0" borderId="0" xfId="0" applyFont="1" applyBorder="1" applyAlignment="1">
      <alignment vertical="center" wrapText="1"/>
    </xf>
    <xf numFmtId="38" fontId="11" fillId="0" borderId="0" xfId="0" applyNumberFormat="1" applyFont="1" applyBorder="1" applyAlignment="1">
      <alignment horizontal="right" vertical="center" wrapText="1"/>
    </xf>
    <xf numFmtId="0" fontId="11" fillId="0" borderId="0" xfId="0" applyNumberFormat="1" applyFont="1" applyBorder="1" applyAlignment="1">
      <alignment horizontal="center" vertical="center" wrapText="1"/>
    </xf>
    <xf numFmtId="57" fontId="11" fillId="0" borderId="0" xfId="0" applyNumberFormat="1" applyFont="1" applyAlignment="1">
      <alignment horizontal="left" vertical="center" wrapText="1"/>
    </xf>
    <xf numFmtId="176" fontId="11" fillId="0" borderId="0" xfId="0" applyNumberFormat="1" applyFont="1" applyAlignment="1">
      <alignment horizontal="center" vertical="center" wrapText="1"/>
    </xf>
    <xf numFmtId="0" fontId="11" fillId="0" borderId="0" xfId="0" applyFont="1" applyAlignment="1">
      <alignment horizontal="left" vertical="center" wrapText="1"/>
    </xf>
    <xf numFmtId="49" fontId="11" fillId="0" borderId="0" xfId="0" applyNumberFormat="1" applyFont="1" applyAlignment="1">
      <alignment horizontal="center" vertical="center" wrapText="1"/>
    </xf>
    <xf numFmtId="181" fontId="11" fillId="0" borderId="0" xfId="0" applyNumberFormat="1" applyFont="1" applyAlignment="1">
      <alignment horizontal="right" vertical="center" wrapText="1"/>
    </xf>
    <xf numFmtId="38" fontId="11" fillId="0" borderId="0" xfId="0" applyNumberFormat="1" applyFont="1" applyAlignment="1">
      <alignment horizontal="right" vertical="center" wrapText="1"/>
    </xf>
    <xf numFmtId="0" fontId="11" fillId="0" borderId="0" xfId="0" applyNumberFormat="1" applyFont="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177" fontId="11" fillId="0" borderId="1" xfId="0" applyNumberFormat="1" applyFont="1" applyBorder="1" applyAlignment="1">
      <alignment horizontal="center" vertical="center" wrapText="1" shrinkToFit="1"/>
    </xf>
    <xf numFmtId="177" fontId="11" fillId="0" borderId="1" xfId="0" applyNumberFormat="1" applyFont="1" applyBorder="1" applyAlignment="1">
      <alignment horizontal="center" vertical="center" shrinkToFit="1"/>
    </xf>
    <xf numFmtId="0" fontId="11" fillId="0" borderId="9" xfId="3" applyFont="1" applyBorder="1" applyAlignment="1">
      <alignment horizontal="center" vertical="center"/>
    </xf>
    <xf numFmtId="0" fontId="11" fillId="0" borderId="0" xfId="3" applyFont="1" applyFill="1" applyAlignment="1">
      <alignment vertical="center"/>
    </xf>
    <xf numFmtId="181" fontId="11" fillId="0" borderId="0" xfId="3" applyNumberFormat="1" applyFont="1" applyAlignment="1">
      <alignment vertical="center"/>
    </xf>
    <xf numFmtId="0" fontId="11" fillId="0" borderId="3" xfId="3" applyNumberFormat="1" applyFont="1" applyFill="1" applyBorder="1" applyAlignment="1">
      <alignment horizontal="center" vertical="center" wrapText="1"/>
    </xf>
    <xf numFmtId="178" fontId="11" fillId="0" borderId="1" xfId="0" applyNumberFormat="1" applyFont="1" applyBorder="1" applyAlignment="1">
      <alignment horizontal="left" vertical="center"/>
    </xf>
    <xf numFmtId="38" fontId="11" fillId="0" borderId="2" xfId="4" applyNumberFormat="1" applyFont="1" applyBorder="1" applyAlignment="1">
      <alignment horizontal="left" vertical="center" wrapText="1"/>
    </xf>
    <xf numFmtId="0" fontId="11" fillId="0" borderId="1" xfId="3" applyFont="1" applyBorder="1" applyAlignment="1">
      <alignment horizontal="left" vertical="center" wrapText="1"/>
    </xf>
    <xf numFmtId="0" fontId="11" fillId="0" borderId="1" xfId="3" applyFont="1" applyBorder="1" applyAlignment="1">
      <alignment horizontal="left" vertical="center"/>
    </xf>
    <xf numFmtId="0" fontId="8" fillId="0" borderId="1" xfId="3" applyNumberFormat="1" applyFont="1" applyBorder="1" applyAlignment="1">
      <alignment horizontal="left" vertical="center" wrapText="1"/>
    </xf>
    <xf numFmtId="0" fontId="8" fillId="0" borderId="1" xfId="3" applyFont="1" applyBorder="1" applyAlignment="1">
      <alignment horizontal="left" vertical="center" wrapText="1"/>
    </xf>
    <xf numFmtId="0" fontId="8" fillId="0" borderId="2" xfId="3" applyFont="1" applyBorder="1" applyAlignment="1">
      <alignment horizontal="left" vertical="center" wrapText="1"/>
    </xf>
    <xf numFmtId="38" fontId="11" fillId="0" borderId="1" xfId="0" applyNumberFormat="1" applyFont="1" applyBorder="1" applyAlignment="1">
      <alignment horizontal="left" vertical="center" wrapText="1"/>
    </xf>
    <xf numFmtId="38" fontId="11" fillId="0" borderId="2" xfId="0" applyNumberFormat="1" applyFont="1" applyBorder="1" applyAlignment="1">
      <alignment horizontal="left" vertical="center" wrapText="1"/>
    </xf>
    <xf numFmtId="183" fontId="11" fillId="0" borderId="1" xfId="0" applyNumberFormat="1" applyFont="1" applyBorder="1" applyAlignment="1">
      <alignment horizontal="left" vertical="center" wrapText="1"/>
    </xf>
    <xf numFmtId="0" fontId="11" fillId="0" borderId="1" xfId="1" applyNumberFormat="1" applyFont="1" applyFill="1" applyBorder="1" applyAlignment="1">
      <alignment horizontal="left" vertical="center" wrapText="1" shrinkToFit="1"/>
    </xf>
    <xf numFmtId="0" fontId="11" fillId="0" borderId="9" xfId="3" applyFont="1" applyBorder="1" applyAlignment="1">
      <alignment horizontal="left" vertical="center"/>
    </xf>
    <xf numFmtId="0" fontId="8" fillId="0" borderId="0" xfId="4" applyFont="1" applyFill="1" applyAlignment="1">
      <alignment horizontal="left" vertical="center" wrapText="1"/>
    </xf>
    <xf numFmtId="182" fontId="11" fillId="0" borderId="1" xfId="0" applyNumberFormat="1" applyFont="1" applyBorder="1" applyAlignment="1">
      <alignment horizontal="left" vertical="center"/>
    </xf>
    <xf numFmtId="182" fontId="11" fillId="0" borderId="2" xfId="0" applyNumberFormat="1" applyFont="1" applyBorder="1" applyAlignment="1">
      <alignment horizontal="left" vertical="center"/>
    </xf>
    <xf numFmtId="1" fontId="11" fillId="0" borderId="1" xfId="3" applyNumberFormat="1" applyFont="1" applyBorder="1" applyAlignment="1">
      <alignment horizontal="right" vertical="center"/>
    </xf>
    <xf numFmtId="181" fontId="11" fillId="0" borderId="2" xfId="3" applyNumberFormat="1" applyFont="1" applyBorder="1" applyAlignment="1">
      <alignment horizontal="right" vertical="center"/>
    </xf>
    <xf numFmtId="3" fontId="11" fillId="0" borderId="1" xfId="3" applyNumberFormat="1" applyFont="1" applyFill="1" applyBorder="1" applyAlignment="1">
      <alignment horizontal="left" vertical="center"/>
    </xf>
    <xf numFmtId="3" fontId="11" fillId="0" borderId="1" xfId="3" applyNumberFormat="1" applyFont="1" applyBorder="1" applyAlignment="1">
      <alignment horizontal="left" vertical="center"/>
    </xf>
    <xf numFmtId="3" fontId="11" fillId="0" borderId="2" xfId="3" applyNumberFormat="1" applyFont="1" applyBorder="1" applyAlignment="1">
      <alignment horizontal="left" vertical="center"/>
    </xf>
    <xf numFmtId="183" fontId="8" fillId="0" borderId="1" xfId="3" applyNumberFormat="1" applyFont="1" applyBorder="1" applyAlignment="1">
      <alignment horizontal="left" vertical="center" wrapText="1"/>
    </xf>
    <xf numFmtId="183" fontId="8" fillId="0" borderId="1" xfId="3" applyNumberFormat="1" applyFont="1" applyBorder="1" applyAlignment="1">
      <alignment horizontal="left" vertical="center"/>
    </xf>
    <xf numFmtId="0" fontId="8" fillId="0" borderId="2" xfId="3" applyFont="1" applyBorder="1" applyAlignment="1">
      <alignment horizontal="left" vertical="center"/>
    </xf>
    <xf numFmtId="181" fontId="8" fillId="0" borderId="0" xfId="3" applyNumberFormat="1" applyFont="1" applyAlignment="1">
      <alignment horizontal="right" vertical="center"/>
    </xf>
    <xf numFmtId="183" fontId="11" fillId="0" borderId="1" xfId="3" applyNumberFormat="1" applyFont="1" applyBorder="1" applyAlignment="1">
      <alignment horizontal="left" vertical="center"/>
    </xf>
    <xf numFmtId="183" fontId="11" fillId="0" borderId="2" xfId="3" applyNumberFormat="1" applyFont="1" applyBorder="1" applyAlignment="1">
      <alignment horizontal="left" vertical="center"/>
    </xf>
    <xf numFmtId="3" fontId="11" fillId="0" borderId="10" xfId="3" applyNumberFormat="1" applyFont="1" applyBorder="1" applyAlignment="1">
      <alignment horizontal="left" vertical="center"/>
    </xf>
    <xf numFmtId="3" fontId="11" fillId="0" borderId="11" xfId="3" applyNumberFormat="1" applyFont="1" applyBorder="1" applyAlignment="1">
      <alignment horizontal="left" vertical="center"/>
    </xf>
    <xf numFmtId="3" fontId="11" fillId="0" borderId="12" xfId="3" applyNumberFormat="1" applyFont="1" applyBorder="1" applyAlignment="1">
      <alignment horizontal="left" vertical="center"/>
    </xf>
    <xf numFmtId="0" fontId="11" fillId="0" borderId="2" xfId="0" applyFont="1" applyBorder="1" applyAlignment="1">
      <alignment horizontal="left" vertical="center"/>
    </xf>
    <xf numFmtId="183" fontId="11" fillId="0" borderId="1" xfId="0" applyNumberFormat="1" applyFont="1" applyBorder="1" applyAlignment="1">
      <alignment horizontal="left" vertical="center" shrinkToFit="1"/>
    </xf>
    <xf numFmtId="177" fontId="11" fillId="0" borderId="1" xfId="1" applyNumberFormat="1" applyFont="1" applyBorder="1" applyAlignment="1">
      <alignment horizontal="center" vertical="center"/>
    </xf>
    <xf numFmtId="0" fontId="11" fillId="0" borderId="1" xfId="1" applyNumberFormat="1" applyFont="1" applyBorder="1" applyAlignment="1">
      <alignment horizontal="left" vertical="center" shrinkToFit="1"/>
    </xf>
    <xf numFmtId="181" fontId="11" fillId="0" borderId="9" xfId="3" applyNumberFormat="1" applyFont="1" applyBorder="1" applyAlignment="1">
      <alignment horizontal="right" vertical="center"/>
    </xf>
    <xf numFmtId="181" fontId="2" fillId="0" borderId="1" xfId="1" applyNumberFormat="1" applyFont="1" applyBorder="1" applyAlignment="1">
      <alignment horizontal="right" vertical="center"/>
    </xf>
    <xf numFmtId="181" fontId="2" fillId="0" borderId="2" xfId="2" applyNumberFormat="1" applyFont="1" applyBorder="1" applyAlignment="1">
      <alignment horizontal="right" vertical="center"/>
    </xf>
    <xf numFmtId="0" fontId="11" fillId="0" borderId="1" xfId="0" applyNumberFormat="1" applyFont="1" applyBorder="1" applyAlignment="1">
      <alignment horizontal="center" vertical="center"/>
    </xf>
    <xf numFmtId="0" fontId="8" fillId="0" borderId="1" xfId="0" applyNumberFormat="1" applyFont="1" applyBorder="1" applyAlignment="1">
      <alignment horizontal="center" vertical="center"/>
    </xf>
    <xf numFmtId="0" fontId="11" fillId="0" borderId="8" xfId="0" applyNumberFormat="1" applyFont="1" applyBorder="1" applyAlignment="1">
      <alignment horizontal="center" vertical="center"/>
    </xf>
    <xf numFmtId="0" fontId="15" fillId="0" borderId="3" xfId="3" applyFont="1" applyFill="1" applyBorder="1" applyAlignment="1">
      <alignment horizontal="center" vertical="center" textRotation="255" wrapText="1"/>
    </xf>
    <xf numFmtId="0" fontId="11" fillId="0" borderId="3" xfId="3" applyFont="1" applyFill="1" applyBorder="1" applyAlignment="1">
      <alignment horizontal="center" vertical="center" wrapText="1" shrinkToFit="1"/>
    </xf>
    <xf numFmtId="183" fontId="11" fillId="0" borderId="0" xfId="3" applyNumberFormat="1" applyFont="1" applyAlignment="1">
      <alignment horizontal="center" vertical="center" wrapText="1"/>
    </xf>
    <xf numFmtId="0" fontId="11" fillId="0" borderId="1" xfId="0" applyNumberFormat="1" applyFont="1" applyFill="1" applyBorder="1" applyAlignment="1">
      <alignment horizontal="center" vertical="center"/>
    </xf>
    <xf numFmtId="49" fontId="11" fillId="0" borderId="8" xfId="1" applyNumberFormat="1" applyFont="1" applyBorder="1" applyAlignment="1">
      <alignment horizontal="center" vertical="center" shrinkToFit="1"/>
    </xf>
    <xf numFmtId="49" fontId="11" fillId="0" borderId="2" xfId="0" applyNumberFormat="1" applyFont="1" applyBorder="1" applyAlignment="1">
      <alignment horizontal="center" vertical="center" shrinkToFit="1"/>
    </xf>
    <xf numFmtId="184" fontId="11" fillId="0" borderId="2" xfId="5" applyNumberFormat="1" applyFont="1" applyBorder="1" applyAlignment="1">
      <alignment horizontal="right" vertical="center" wrapText="1"/>
    </xf>
    <xf numFmtId="184" fontId="11" fillId="0" borderId="1" xfId="5" applyNumberFormat="1" applyFont="1" applyFill="1" applyBorder="1" applyAlignment="1">
      <alignment horizontal="right" vertical="center"/>
    </xf>
    <xf numFmtId="0" fontId="8" fillId="0" borderId="2" xfId="0" applyFont="1" applyBorder="1" applyAlignment="1">
      <alignment horizontal="left" vertical="center"/>
    </xf>
    <xf numFmtId="176" fontId="8" fillId="0" borderId="2" xfId="0" applyNumberFormat="1" applyFont="1" applyBorder="1" applyAlignment="1">
      <alignment horizontal="center" vertical="center" wrapText="1"/>
    </xf>
    <xf numFmtId="0" fontId="8" fillId="0" borderId="2" xfId="0" applyFont="1" applyBorder="1" applyAlignment="1">
      <alignment horizontal="left" vertical="center" wrapText="1"/>
    </xf>
    <xf numFmtId="49" fontId="8" fillId="0" borderId="2" xfId="0" applyNumberFormat="1" applyFont="1" applyBorder="1" applyAlignment="1">
      <alignment horizontal="center" vertical="center" wrapText="1"/>
    </xf>
    <xf numFmtId="49" fontId="8" fillId="0" borderId="8" xfId="1" applyNumberFormat="1" applyFont="1" applyBorder="1" applyAlignment="1">
      <alignment horizontal="center" vertical="center" shrinkToFit="1"/>
    </xf>
    <xf numFmtId="179" fontId="8" fillId="0" borderId="1" xfId="0" applyNumberFormat="1" applyFont="1" applyBorder="1" applyAlignment="1">
      <alignment horizontal="center" vertical="center" wrapText="1"/>
    </xf>
    <xf numFmtId="184" fontId="8" fillId="0" borderId="2" xfId="5" applyNumberFormat="1" applyFont="1" applyBorder="1" applyAlignment="1">
      <alignment horizontal="right" vertical="center" wrapText="1"/>
    </xf>
    <xf numFmtId="184" fontId="8" fillId="0" borderId="1" xfId="5" applyNumberFormat="1" applyFont="1" applyBorder="1" applyAlignment="1">
      <alignment horizontal="right" vertical="center"/>
    </xf>
    <xf numFmtId="0" fontId="8" fillId="0" borderId="1" xfId="0" applyFont="1" applyFill="1" applyBorder="1" applyAlignment="1">
      <alignment horizontal="left" vertical="center"/>
    </xf>
    <xf numFmtId="176" fontId="8" fillId="0" borderId="1" xfId="0" applyNumberFormat="1" applyFont="1" applyBorder="1" applyAlignment="1">
      <alignment horizontal="center" vertical="center" wrapText="1"/>
    </xf>
    <xf numFmtId="0" fontId="8" fillId="0" borderId="1" xfId="0" applyFont="1" applyFill="1" applyBorder="1" applyAlignment="1">
      <alignment horizontal="left" vertical="center" shrinkToFit="1"/>
    </xf>
    <xf numFmtId="177" fontId="8" fillId="0" borderId="1" xfId="0" applyNumberFormat="1" applyFont="1" applyFill="1" applyBorder="1" applyAlignment="1">
      <alignment horizontal="center" vertical="center" wrapText="1"/>
    </xf>
    <xf numFmtId="181" fontId="8" fillId="0" borderId="1" xfId="0" applyNumberFormat="1" applyFont="1" applyBorder="1" applyAlignment="1">
      <alignment horizontal="right" vertical="center" wrapText="1"/>
    </xf>
    <xf numFmtId="0" fontId="8" fillId="0" borderId="1" xfId="3" applyFont="1" applyBorder="1" applyAlignment="1">
      <alignment horizontal="left" vertical="center"/>
    </xf>
    <xf numFmtId="0" fontId="8" fillId="0" borderId="8" xfId="1" applyNumberFormat="1" applyFont="1" applyBorder="1" applyAlignment="1">
      <alignment horizontal="left" vertical="center" wrapText="1" shrinkToFit="1"/>
    </xf>
    <xf numFmtId="179" fontId="2" fillId="0" borderId="1" xfId="1" applyNumberFormat="1" applyFont="1" applyBorder="1" applyAlignment="1">
      <alignment horizontal="center" vertical="center"/>
    </xf>
    <xf numFmtId="183" fontId="2" fillId="0" borderId="1" xfId="1" applyNumberFormat="1" applyFont="1" applyBorder="1" applyAlignment="1">
      <alignment horizontal="left" vertical="center" wrapText="1" shrinkToFit="1"/>
    </xf>
    <xf numFmtId="181" fontId="11" fillId="0" borderId="1" xfId="3" applyNumberFormat="1" applyFont="1" applyFill="1" applyBorder="1" applyAlignment="1">
      <alignment vertical="center"/>
    </xf>
    <xf numFmtId="181" fontId="11" fillId="0" borderId="2" xfId="3" applyNumberFormat="1" applyFont="1" applyFill="1" applyBorder="1" applyAlignment="1">
      <alignment vertical="center"/>
    </xf>
    <xf numFmtId="0" fontId="11" fillId="0" borderId="1" xfId="3" applyFont="1" applyFill="1" applyBorder="1" applyAlignment="1">
      <alignment vertical="center" wrapText="1"/>
    </xf>
    <xf numFmtId="0" fontId="11" fillId="0" borderId="2" xfId="3" applyFont="1" applyFill="1" applyBorder="1" applyAlignment="1">
      <alignment vertical="center" wrapText="1"/>
    </xf>
    <xf numFmtId="183" fontId="2" fillId="0" borderId="1" xfId="0" applyNumberFormat="1" applyFont="1" applyBorder="1" applyAlignment="1">
      <alignment horizontal="left" vertical="center" shrinkToFit="1"/>
    </xf>
    <xf numFmtId="183" fontId="2" fillId="0" borderId="2" xfId="0" applyNumberFormat="1" applyFont="1" applyBorder="1" applyAlignment="1">
      <alignment horizontal="left" vertical="center" shrinkToFit="1"/>
    </xf>
    <xf numFmtId="182" fontId="8" fillId="0" borderId="1" xfId="0" applyNumberFormat="1" applyFont="1" applyBorder="1" applyAlignment="1">
      <alignment horizontal="left" vertical="center"/>
    </xf>
    <xf numFmtId="182" fontId="8" fillId="0" borderId="2" xfId="0" applyNumberFormat="1" applyFont="1" applyBorder="1" applyAlignment="1">
      <alignment horizontal="left" vertical="center"/>
    </xf>
    <xf numFmtId="181" fontId="11" fillId="0" borderId="1" xfId="3" applyNumberFormat="1" applyFont="1" applyBorder="1" applyAlignment="1">
      <alignment horizontal="left" vertical="center" wrapText="1"/>
    </xf>
    <xf numFmtId="0" fontId="11" fillId="0" borderId="2" xfId="4" applyFont="1" applyBorder="1" applyAlignment="1">
      <alignment horizontal="center" vertical="center" wrapText="1"/>
    </xf>
    <xf numFmtId="0" fontId="11" fillId="0" borderId="13" xfId="3" applyFont="1" applyFill="1" applyBorder="1" applyAlignment="1">
      <alignment horizontal="center" vertical="center"/>
    </xf>
    <xf numFmtId="0" fontId="11" fillId="0" borderId="7" xfId="3" applyFont="1" applyFill="1" applyBorder="1" applyAlignment="1">
      <alignment horizontal="center" vertical="center"/>
    </xf>
    <xf numFmtId="0" fontId="11" fillId="0" borderId="14" xfId="3" applyFont="1" applyBorder="1" applyAlignment="1">
      <alignment horizontal="center" vertical="center"/>
    </xf>
    <xf numFmtId="0" fontId="14" fillId="0" borderId="15" xfId="0" applyFont="1" applyBorder="1" applyAlignment="1">
      <alignment horizontal="center" vertical="center"/>
    </xf>
    <xf numFmtId="0" fontId="2" fillId="0" borderId="0" xfId="0" applyFont="1" applyAlignment="1">
      <alignment vertical="top" wrapText="1"/>
    </xf>
    <xf numFmtId="0" fontId="2" fillId="0" borderId="4" xfId="0" applyFont="1" applyFill="1" applyBorder="1" applyAlignment="1">
      <alignment vertical="top" wrapText="1"/>
    </xf>
  </cellXfs>
  <cellStyles count="6">
    <cellStyle name="桁区切り" xfId="5" builtinId="6"/>
    <cellStyle name="通貨" xfId="1" builtinId="7"/>
    <cellStyle name="通貨_32～47  財産目録(法人用)" xfId="2" xr:uid="{00000000-0005-0000-0000-000002000000}"/>
    <cellStyle name="標準" xfId="0" builtinId="0"/>
    <cellStyle name="標準_財産目録明細書" xfId="3" xr:uid="{00000000-0005-0000-0000-000004000000}"/>
    <cellStyle name="標準_資産・負債一覧表" xfId="4" xr:uid="{00000000-0005-0000-0000-000005000000}"/>
  </cellStyles>
  <dxfs count="25">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font>
    </dxf>
    <dxf>
      <font>
        <condense val="0"/>
        <extend val="0"/>
        <color indexed="9"/>
      </font>
    </dxf>
    <dxf>
      <font>
        <condense val="0"/>
        <extend val="0"/>
      </font>
    </dxf>
    <dxf>
      <font>
        <condense val="0"/>
        <extend val="0"/>
      </font>
    </dxf>
    <dxf>
      <font>
        <condense val="0"/>
        <extend val="0"/>
      </font>
    </dxf>
    <dxf>
      <font>
        <condense val="0"/>
        <extend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5" Type="http://schemas.openxmlformats.org/officeDocument/2006/relationships/printerSettings" Target="../printerSettings/printerSettings15.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3.bin"/><Relationship Id="rId7" Type="http://schemas.openxmlformats.org/officeDocument/2006/relationships/comments" Target="../comments1.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vmlDrawing" Target="../drawings/vmlDrawing1.vml"/><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8.bin"/><Relationship Id="rId7" Type="http://schemas.openxmlformats.org/officeDocument/2006/relationships/comments" Target="../comments2.xml"/><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6" Type="http://schemas.openxmlformats.org/officeDocument/2006/relationships/vmlDrawing" Target="../drawings/vmlDrawing2.vml"/><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5" Type="http://schemas.openxmlformats.org/officeDocument/2006/relationships/printerSettings" Target="../printerSettings/printerSettings45.bin"/><Relationship Id="rId4" Type="http://schemas.openxmlformats.org/officeDocument/2006/relationships/printerSettings" Target="../printerSettings/printerSettings4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8.bin"/><Relationship Id="rId7" Type="http://schemas.openxmlformats.org/officeDocument/2006/relationships/comments" Target="../comments3.xml"/><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vmlDrawing" Target="../drawings/vmlDrawing3.vml"/><Relationship Id="rId5" Type="http://schemas.openxmlformats.org/officeDocument/2006/relationships/printerSettings" Target="../printerSettings/printerSettings50.bin"/><Relationship Id="rId4" Type="http://schemas.openxmlformats.org/officeDocument/2006/relationships/printerSettings" Target="../printerSettings/printerSettings4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5" Type="http://schemas.openxmlformats.org/officeDocument/2006/relationships/printerSettings" Target="../printerSettings/printerSettings55.bin"/><Relationship Id="rId4" Type="http://schemas.openxmlformats.org/officeDocument/2006/relationships/printerSettings" Target="../printerSettings/printerSettings5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5" Type="http://schemas.openxmlformats.org/officeDocument/2006/relationships/printerSettings" Target="../printerSettings/printerSettings60.bin"/><Relationship Id="rId4" Type="http://schemas.openxmlformats.org/officeDocument/2006/relationships/printerSettings" Target="../printerSettings/printerSettings59.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5" Type="http://schemas.openxmlformats.org/officeDocument/2006/relationships/printerSettings" Target="../printerSettings/printerSettings70.bin"/><Relationship Id="rId4" Type="http://schemas.openxmlformats.org/officeDocument/2006/relationships/printerSettings" Target="../printerSettings/printerSettings69.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 Id="rId5" Type="http://schemas.openxmlformats.org/officeDocument/2006/relationships/printerSettings" Target="../printerSettings/printerSettings75.bin"/><Relationship Id="rId4" Type="http://schemas.openxmlformats.org/officeDocument/2006/relationships/printerSettings" Target="../printerSettings/printerSettings74.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 Id="rId5" Type="http://schemas.openxmlformats.org/officeDocument/2006/relationships/printerSettings" Target="../printerSettings/printerSettings80.bin"/><Relationship Id="rId4" Type="http://schemas.openxmlformats.org/officeDocument/2006/relationships/printerSettings" Target="../printerSettings/printerSettings79.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83.bin"/><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 Id="rId5" Type="http://schemas.openxmlformats.org/officeDocument/2006/relationships/printerSettings" Target="../printerSettings/printerSettings85.bin"/><Relationship Id="rId4"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7">
    <pageSetUpPr fitToPage="1"/>
  </sheetPr>
  <dimension ref="A1:G22"/>
  <sheetViews>
    <sheetView showGridLines="0" tabSelected="1" zoomScaleNormal="100" workbookViewId="0">
      <pane ySplit="1" topLeftCell="A2" activePane="bottomLeft" state="frozen"/>
      <selection pane="bottomLeft" activeCell="E13" sqref="E13"/>
    </sheetView>
  </sheetViews>
  <sheetFormatPr defaultRowHeight="13.5"/>
  <cols>
    <col min="1" max="1" width="4.625" style="52" bestFit="1" customWidth="1"/>
    <col min="2" max="2" width="16.25" style="22" bestFit="1" customWidth="1"/>
    <col min="3" max="3" width="20.125" style="23" bestFit="1" customWidth="1"/>
    <col min="4" max="4" width="17.375" style="23" bestFit="1" customWidth="1"/>
    <col min="5" max="5" width="47" style="22" customWidth="1"/>
    <col min="6" max="6" width="21.75" style="23" customWidth="1"/>
    <col min="7" max="7" width="9" style="22" hidden="1" customWidth="1"/>
    <col min="8" max="16384" width="9" style="22"/>
  </cols>
  <sheetData>
    <row r="1" spans="1:7" s="45" customFormat="1" ht="41.25" thickBot="1">
      <c r="A1" s="84" t="s">
        <v>98</v>
      </c>
      <c r="B1" s="85" t="s">
        <v>4</v>
      </c>
      <c r="C1" s="86" t="s">
        <v>50</v>
      </c>
      <c r="D1" s="86" t="s">
        <v>51</v>
      </c>
      <c r="E1" s="85" t="s">
        <v>34</v>
      </c>
      <c r="F1" s="86" t="s">
        <v>58</v>
      </c>
      <c r="G1" s="87"/>
    </row>
    <row r="2" spans="1:7" ht="22.5" customHeight="1" thickTop="1">
      <c r="A2" s="88">
        <v>1</v>
      </c>
      <c r="B2" s="89" t="s">
        <v>5</v>
      </c>
      <c r="C2" s="90"/>
      <c r="D2" s="90"/>
      <c r="E2" s="166"/>
      <c r="F2" s="90"/>
      <c r="G2" s="91"/>
    </row>
    <row r="3" spans="1:7" ht="22.5" customHeight="1">
      <c r="A3" s="92">
        <v>2</v>
      </c>
      <c r="B3" s="89" t="s">
        <v>85</v>
      </c>
      <c r="C3" s="90"/>
      <c r="D3" s="90"/>
      <c r="E3" s="167"/>
      <c r="F3" s="90"/>
      <c r="G3" s="91">
        <f>IF('219_預貯金・積立金'!F2="",1,0)</f>
        <v>1</v>
      </c>
    </row>
    <row r="4" spans="1:7" ht="22.5" customHeight="1">
      <c r="A4" s="88">
        <v>3</v>
      </c>
      <c r="B4" s="89" t="s">
        <v>6</v>
      </c>
      <c r="C4" s="90"/>
      <c r="D4" s="90"/>
      <c r="E4" s="167"/>
      <c r="F4" s="90"/>
      <c r="G4" s="91">
        <f>IF('220_保険'!E2="",1,0)</f>
        <v>1</v>
      </c>
    </row>
    <row r="5" spans="1:7" ht="22.5" customHeight="1">
      <c r="A5" s="88">
        <v>4</v>
      </c>
      <c r="B5" s="89" t="s">
        <v>12</v>
      </c>
      <c r="C5" s="90"/>
      <c r="D5" s="90"/>
      <c r="E5" s="136"/>
      <c r="F5" s="90"/>
      <c r="G5" s="91">
        <f>IF('221_自動車'!F2="",1,0)</f>
        <v>1</v>
      </c>
    </row>
    <row r="6" spans="1:7" ht="22.5" customHeight="1">
      <c r="A6" s="88">
        <v>5</v>
      </c>
      <c r="B6" s="89" t="s">
        <v>7</v>
      </c>
      <c r="C6" s="90"/>
      <c r="D6" s="90"/>
      <c r="E6" s="136"/>
      <c r="F6" s="90"/>
      <c r="G6" s="91">
        <f>IF('222_敷金'!C2="",1,0)</f>
        <v>1</v>
      </c>
    </row>
    <row r="7" spans="1:7" ht="22.5" customHeight="1">
      <c r="A7" s="88">
        <v>6</v>
      </c>
      <c r="B7" s="89" t="s">
        <v>62</v>
      </c>
      <c r="C7" s="90"/>
      <c r="D7" s="90"/>
      <c r="E7" s="167"/>
      <c r="F7" s="90"/>
      <c r="G7" s="91" t="e">
        <f>IF(#REF!="",1,0)</f>
        <v>#REF!</v>
      </c>
    </row>
    <row r="8" spans="1:7" ht="22.5" customHeight="1">
      <c r="A8" s="88">
        <v>7</v>
      </c>
      <c r="B8" s="89" t="s">
        <v>93</v>
      </c>
      <c r="C8" s="90"/>
      <c r="D8" s="90"/>
      <c r="E8" s="167"/>
      <c r="F8" s="90"/>
      <c r="G8" s="91">
        <f>IF('223_退職金'!D2="",1,0)</f>
        <v>1</v>
      </c>
    </row>
    <row r="9" spans="1:7" ht="22.5" customHeight="1">
      <c r="A9" s="88">
        <v>8</v>
      </c>
      <c r="B9" s="89" t="s">
        <v>11</v>
      </c>
      <c r="C9" s="90"/>
      <c r="D9" s="90"/>
      <c r="E9" s="167"/>
      <c r="F9" s="90"/>
      <c r="G9" s="91"/>
    </row>
    <row r="10" spans="1:7" ht="22.5" customHeight="1">
      <c r="A10" s="88">
        <v>9</v>
      </c>
      <c r="B10" s="89" t="s">
        <v>13</v>
      </c>
      <c r="C10" s="90"/>
      <c r="D10" s="90"/>
      <c r="E10" s="167"/>
      <c r="F10" s="90"/>
      <c r="G10" s="91">
        <f>IF('225_不動産'!E2="",1,0)</f>
        <v>1</v>
      </c>
    </row>
    <row r="11" spans="1:7" ht="22.5" customHeight="1">
      <c r="A11" s="88">
        <v>10</v>
      </c>
      <c r="B11" s="89" t="s">
        <v>8</v>
      </c>
      <c r="C11" s="90"/>
      <c r="D11" s="90"/>
      <c r="E11" s="167"/>
      <c r="F11" s="90"/>
      <c r="G11" s="91">
        <f>IF('226_有価証券'!G2="",1,0)</f>
        <v>1</v>
      </c>
    </row>
    <row r="12" spans="1:7" ht="22.5" customHeight="1">
      <c r="A12" s="88">
        <v>11</v>
      </c>
      <c r="B12" s="89" t="s">
        <v>9</v>
      </c>
      <c r="C12" s="90"/>
      <c r="D12" s="90"/>
      <c r="E12" s="167"/>
      <c r="F12" s="90"/>
      <c r="G12" s="91">
        <f>IF('227_手形・小切手'!I2="",1,0)</f>
        <v>1</v>
      </c>
    </row>
    <row r="13" spans="1:7" ht="22.5" customHeight="1">
      <c r="A13" s="88">
        <v>12</v>
      </c>
      <c r="B13" s="89" t="s">
        <v>10</v>
      </c>
      <c r="C13" s="90"/>
      <c r="D13" s="90"/>
      <c r="E13" s="136"/>
      <c r="F13" s="90"/>
      <c r="G13" s="91">
        <f>IF('228_売掛金'!F2="",1,0)</f>
        <v>1</v>
      </c>
    </row>
    <row r="14" spans="1:7" ht="22.5" customHeight="1">
      <c r="A14" s="88">
        <v>13</v>
      </c>
      <c r="B14" s="89" t="s">
        <v>16</v>
      </c>
      <c r="C14" s="90"/>
      <c r="D14" s="90"/>
      <c r="E14" s="167"/>
      <c r="F14" s="90"/>
      <c r="G14" s="91">
        <f>IF('229_貸付金'!F2="",1,0)</f>
        <v>1</v>
      </c>
    </row>
    <row r="15" spans="1:7" ht="22.5" customHeight="1">
      <c r="A15" s="88">
        <v>14</v>
      </c>
      <c r="B15" s="89" t="s">
        <v>14</v>
      </c>
      <c r="C15" s="90"/>
      <c r="D15" s="90"/>
      <c r="E15" s="167"/>
      <c r="F15" s="90"/>
      <c r="G15" s="91">
        <f>IF('230_在庫商品'!E2="",1,0)</f>
        <v>1</v>
      </c>
    </row>
    <row r="16" spans="1:7" ht="22.5" customHeight="1">
      <c r="A16" s="88">
        <v>15</v>
      </c>
      <c r="B16" s="89" t="s">
        <v>15</v>
      </c>
      <c r="C16" s="90"/>
      <c r="D16" s="90"/>
      <c r="E16" s="136"/>
      <c r="F16" s="90"/>
      <c r="G16" s="91">
        <f>IF('231_機械・工具類'!E2="",1,0)</f>
        <v>1</v>
      </c>
    </row>
    <row r="17" spans="1:7" ht="22.5" customHeight="1">
      <c r="A17" s="88">
        <v>16</v>
      </c>
      <c r="B17" s="89" t="s">
        <v>130</v>
      </c>
      <c r="C17" s="90"/>
      <c r="D17" s="90"/>
      <c r="E17" s="167"/>
      <c r="F17" s="90"/>
      <c r="G17" s="91">
        <f>IF('232_什器備品'!E2="",1,0)</f>
        <v>1</v>
      </c>
    </row>
    <row r="18" spans="1:7" ht="22.5" customHeight="1">
      <c r="A18" s="88">
        <v>17</v>
      </c>
      <c r="B18" s="89"/>
      <c r="C18" s="90"/>
      <c r="D18" s="90"/>
      <c r="E18" s="167"/>
      <c r="F18" s="90"/>
      <c r="G18" s="91">
        <f>IF('233_その他'!E5="",1,0)</f>
        <v>1</v>
      </c>
    </row>
    <row r="19" spans="1:7" ht="22.5" customHeight="1">
      <c r="A19" s="239" t="s">
        <v>52</v>
      </c>
      <c r="B19" s="239"/>
      <c r="C19" s="93">
        <f>SUM(C2:C18)</f>
        <v>0</v>
      </c>
      <c r="D19" s="93">
        <f>SUM(D2:D18)</f>
        <v>0</v>
      </c>
      <c r="E19" s="94"/>
      <c r="F19" s="93">
        <f>SUM(F2:F18)</f>
        <v>0</v>
      </c>
      <c r="G19" s="91"/>
    </row>
    <row r="20" spans="1:7" s="58" customFormat="1" ht="22.5" customHeight="1">
      <c r="A20" s="57"/>
      <c r="B20" s="33"/>
      <c r="C20" s="33"/>
      <c r="D20" s="33"/>
      <c r="E20" s="33"/>
      <c r="F20" s="33"/>
    </row>
    <row r="21" spans="1:7" ht="24" customHeight="1">
      <c r="B21" s="24"/>
      <c r="C21" s="27"/>
      <c r="D21" s="27"/>
      <c r="E21" s="178"/>
      <c r="F21" s="27"/>
    </row>
    <row r="22" spans="1:7" ht="26.25" customHeight="1"/>
  </sheetData>
  <customSheetViews>
    <customSheetView guid="{2ED08BFB-32F2-40DC-9FA0-3D6DF2CD2658}" showGridLines="0" fitToPage="1" hiddenColumns="1">
      <pane ySplit="1" topLeftCell="A2" activePane="bottomLeft" state="frozen"/>
      <selection pane="bottomLeft" activeCell="B11" sqref="B11"/>
      <pageMargins left="0.78740157480314965" right="0.78740157480314965" top="1.5748031496062993" bottom="0.78740157480314965" header="1.1811023622047245" footer="0.51181102362204722"/>
      <pageSetup paperSize="9" fitToHeight="0" orientation="landscape" horizontalDpi="4294967292" verticalDpi="200" r:id="rId1"/>
      <headerFooter alignWithMargins="0">
        <oddHeader>&amp;C&amp;"ＭＳ Ｐ明朝,太字"&amp;14①　財 産 目 録（総 括 表・自然人用）</oddHeader>
        <oddFooter>&amp;R&amp;"ＭＳ Ｐ明朝,標準"＊詳細は各目録のとおり
ver.3.0</oddFooter>
      </headerFooter>
    </customSheetView>
    <customSheetView guid="{EDE077E3-93A2-422C-951E-2814F2FB5724}" showPageBreaks="1" showGridLines="0" fitToPage="1" hiddenColumns="1">
      <pane ySplit="1" topLeftCell="A2" activePane="bottomLeft" state="frozen"/>
      <selection pane="bottomLeft" activeCell="E9" sqref="E9"/>
      <pageMargins left="0.78740157480314965" right="0.78740157480314965" top="1.5748031496062993" bottom="0.78740157480314965" header="1.1811023622047245" footer="0.51181102362204722"/>
      <pageSetup paperSize="9" scale="94" orientation="landscape" horizontalDpi="4294967292" verticalDpi="200" r:id="rId2"/>
      <headerFooter alignWithMargins="0">
        <oddHeader>&amp;C&amp;"ＭＳ Ｐ明朝,太字"&amp;14①　財 産 目 録（総 括 表・自然人用）</oddHeader>
        <oddFooter>&amp;R&amp;"ＭＳ Ｐ明朝,標準"＊詳細は各目録のとおり
ver.3.0</oddFooter>
      </headerFooter>
    </customSheetView>
    <customSheetView guid="{348C0A88-2D6B-48B4-929A-E6B77EACA73D}" showPageBreaks="1" showGridLines="0" fitToPage="1" hiddenColumns="1">
      <pane ySplit="1" topLeftCell="A8" activePane="bottomLeft" state="frozen"/>
      <selection pane="bottomLeft" activeCell="C11" sqref="C11"/>
      <pageMargins left="0.78740157480314965" right="0.78740157480314965" top="1.5748031496062993" bottom="0.78740157480314965" header="1.1811023622047245" footer="0.51181102362204722"/>
      <pageSetup paperSize="9" fitToHeight="0" orientation="landscape" horizontalDpi="4294967292" verticalDpi="200" r:id="rId3"/>
      <headerFooter alignWithMargins="0">
        <oddHeader>&amp;C&amp;"ＭＳ Ｐ明朝,太字"&amp;14①　財 産 目 録（総 括 表・自然人用）</oddHeader>
        <oddFooter>&amp;R&amp;"ＭＳ Ｐ明朝,標準"＊詳細は各目録のとおり
ver.4.0</oddFooter>
      </headerFooter>
    </customSheetView>
    <customSheetView guid="{CB2864B2-4E22-42B2-A294-4D47309CF09D}" showGridLines="0" fitToPage="1" hiddenColumns="1">
      <pane ySplit="1" topLeftCell="A2" activePane="bottomLeft" state="frozen"/>
      <selection pane="bottomLeft" activeCell="F20" sqref="F20"/>
      <pageMargins left="0.78740157480314965" right="0.78740157480314965" top="1.5748031496062993" bottom="0.78740157480314965" header="1.1811023622047245" footer="0.51181102362204722"/>
      <pageSetup paperSize="9" fitToHeight="0" orientation="landscape" horizontalDpi="4294967292" verticalDpi="200" r:id="rId4"/>
      <headerFooter alignWithMargins="0">
        <oddHeader>&amp;C&amp;"ＭＳ Ｐ明朝,太字"&amp;14①　財 産 目 録（総 括 表・自然人用）</oddHeader>
        <oddFooter>&amp;R&amp;"ＭＳ Ｐ明朝,標準"＊詳細は各目録のとおり
ver.3.0</oddFooter>
      </headerFooter>
    </customSheetView>
  </customSheetViews>
  <mergeCells count="1">
    <mergeCell ref="A19:B19"/>
  </mergeCells>
  <phoneticPr fontId="5"/>
  <dataValidations count="1">
    <dataValidation imeMode="on" allowBlank="1" showInputMessage="1" showErrorMessage="1" sqref="E2:E18 B2:B18" xr:uid="{00000000-0002-0000-0000-000000000000}"/>
  </dataValidations>
  <pageMargins left="0.78740157480314965" right="0.78740157480314965" top="1.5748031496062993" bottom="0.78740157480314965" header="1.1811023622047245" footer="0.51181102362204722"/>
  <pageSetup paperSize="9" fitToHeight="0" orientation="landscape" horizontalDpi="4294967292" verticalDpi="200" r:id="rId5"/>
  <headerFooter alignWithMargins="0">
    <oddHeader>&amp;C&amp;"ＭＳ Ｐ明朝,太字"&amp;14①　財 産 目 録（総 括 表・自然人用）</oddHeader>
    <oddFooter>&amp;C&amp;P&amp;R&amp;"ＭＳ Ｐ明朝,標準"＊詳細は各目録のとおり
ver.4.0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14"/>
  <sheetViews>
    <sheetView showGridLines="0" zoomScaleNormal="75" workbookViewId="0">
      <pane xSplit="3" ySplit="1" topLeftCell="D2" activePane="bottomRight" state="frozen"/>
      <selection pane="topRight" activeCell="D1" sqref="D1"/>
      <selection pane="bottomLeft" activeCell="A2" sqref="A2"/>
      <selection pane="bottomRight" activeCell="H8" sqref="H8"/>
    </sheetView>
  </sheetViews>
  <sheetFormatPr defaultColWidth="27" defaultRowHeight="18" customHeight="1"/>
  <cols>
    <col min="1" max="1" width="4.625" style="2" bestFit="1" customWidth="1"/>
    <col min="2" max="2" width="15.375" style="2" bestFit="1" customWidth="1"/>
    <col min="3" max="3" width="11.125" style="2" bestFit="1" customWidth="1"/>
    <col min="4" max="4" width="9" style="2" bestFit="1" customWidth="1"/>
    <col min="5" max="5" width="11.125" style="32" bestFit="1" customWidth="1"/>
    <col min="6" max="6" width="15.375" style="11" customWidth="1"/>
    <col min="7" max="7" width="5" style="2" customWidth="1"/>
    <col min="8" max="8" width="16.75" style="11" customWidth="1"/>
    <col min="9" max="9" width="5" style="2" customWidth="1"/>
    <col min="10" max="10" width="21.75" style="6" customWidth="1"/>
    <col min="11" max="11" width="9.875" style="2" customWidth="1"/>
    <col min="12" max="16384" width="27" style="6"/>
  </cols>
  <sheetData>
    <row r="1" spans="1:11" s="46" customFormat="1" ht="52.5" customHeight="1" thickBot="1">
      <c r="A1" s="69" t="s">
        <v>53</v>
      </c>
      <c r="B1" s="70" t="s">
        <v>86</v>
      </c>
      <c r="C1" s="69" t="s">
        <v>79</v>
      </c>
      <c r="D1" s="69" t="s">
        <v>23</v>
      </c>
      <c r="E1" s="165" t="s">
        <v>87</v>
      </c>
      <c r="F1" s="71" t="s">
        <v>88</v>
      </c>
      <c r="G1" s="70" t="s">
        <v>35</v>
      </c>
      <c r="H1" s="107" t="s">
        <v>40</v>
      </c>
      <c r="I1" s="70" t="s">
        <v>107</v>
      </c>
      <c r="J1" s="70" t="s">
        <v>36</v>
      </c>
      <c r="K1" s="70" t="s">
        <v>57</v>
      </c>
    </row>
    <row r="2" spans="1:11" ht="36" customHeight="1" thickTop="1">
      <c r="A2" s="72">
        <v>1</v>
      </c>
      <c r="B2" s="179"/>
      <c r="C2" s="97"/>
      <c r="D2" s="105"/>
      <c r="E2" s="73"/>
      <c r="F2" s="106"/>
      <c r="G2" s="202" t="s">
        <v>56</v>
      </c>
      <c r="H2" s="90"/>
      <c r="I2" s="202" t="s">
        <v>56</v>
      </c>
      <c r="J2" s="168"/>
      <c r="K2" s="72" t="s">
        <v>56</v>
      </c>
    </row>
    <row r="3" spans="1:11" ht="36" customHeight="1">
      <c r="A3" s="75">
        <v>2</v>
      </c>
      <c r="B3" s="179"/>
      <c r="C3" s="97"/>
      <c r="D3" s="75"/>
      <c r="E3" s="73"/>
      <c r="F3" s="106"/>
      <c r="G3" s="202" t="s">
        <v>56</v>
      </c>
      <c r="H3" s="90"/>
      <c r="I3" s="202" t="s">
        <v>129</v>
      </c>
      <c r="J3" s="168"/>
      <c r="K3" s="75" t="s">
        <v>129</v>
      </c>
    </row>
    <row r="4" spans="1:11" ht="36" customHeight="1">
      <c r="A4" s="75">
        <v>3</v>
      </c>
      <c r="B4" s="179"/>
      <c r="C4" s="97"/>
      <c r="D4" s="75"/>
      <c r="E4" s="73"/>
      <c r="F4" s="106"/>
      <c r="G4" s="202" t="s">
        <v>56</v>
      </c>
      <c r="H4" s="90"/>
      <c r="I4" s="202" t="s">
        <v>129</v>
      </c>
      <c r="J4" s="109"/>
      <c r="K4" s="75" t="s">
        <v>129</v>
      </c>
    </row>
    <row r="5" spans="1:11" ht="36" customHeight="1">
      <c r="A5" s="75">
        <v>4</v>
      </c>
      <c r="B5" s="179"/>
      <c r="C5" s="97"/>
      <c r="D5" s="75"/>
      <c r="E5" s="73"/>
      <c r="F5" s="106"/>
      <c r="G5" s="202" t="s">
        <v>56</v>
      </c>
      <c r="H5" s="90"/>
      <c r="I5" s="202" t="s">
        <v>129</v>
      </c>
      <c r="J5" s="109"/>
      <c r="K5" s="75" t="s">
        <v>129</v>
      </c>
    </row>
    <row r="6" spans="1:11" ht="36" customHeight="1">
      <c r="A6" s="75">
        <v>5</v>
      </c>
      <c r="B6" s="179"/>
      <c r="C6" s="97"/>
      <c r="D6" s="75"/>
      <c r="E6" s="73"/>
      <c r="F6" s="106"/>
      <c r="G6" s="202" t="s">
        <v>56</v>
      </c>
      <c r="H6" s="98"/>
      <c r="I6" s="202" t="s">
        <v>56</v>
      </c>
      <c r="J6" s="109"/>
      <c r="K6" s="75" t="s">
        <v>56</v>
      </c>
    </row>
    <row r="7" spans="1:11" ht="36" customHeight="1">
      <c r="A7" s="75">
        <v>6</v>
      </c>
      <c r="B7" s="179"/>
      <c r="C7" s="97"/>
      <c r="D7" s="75"/>
      <c r="E7" s="99"/>
      <c r="F7" s="93"/>
      <c r="G7" s="202" t="s">
        <v>56</v>
      </c>
      <c r="H7" s="98"/>
      <c r="I7" s="202" t="s">
        <v>56</v>
      </c>
      <c r="J7" s="109"/>
      <c r="K7" s="75" t="s">
        <v>56</v>
      </c>
    </row>
    <row r="8" spans="1:11" ht="36" customHeight="1">
      <c r="A8" s="75">
        <v>7</v>
      </c>
      <c r="B8" s="179"/>
      <c r="C8" s="97"/>
      <c r="D8" s="75"/>
      <c r="E8" s="99"/>
      <c r="F8" s="93"/>
      <c r="G8" s="202" t="s">
        <v>56</v>
      </c>
      <c r="H8" s="98"/>
      <c r="I8" s="202" t="s">
        <v>56</v>
      </c>
      <c r="J8" s="109"/>
      <c r="K8" s="75" t="s">
        <v>56</v>
      </c>
    </row>
    <row r="9" spans="1:11" ht="36" customHeight="1">
      <c r="A9" s="75">
        <v>8</v>
      </c>
      <c r="B9" s="179"/>
      <c r="C9" s="97"/>
      <c r="D9" s="75"/>
      <c r="E9" s="99"/>
      <c r="F9" s="93"/>
      <c r="G9" s="202" t="s">
        <v>56</v>
      </c>
      <c r="H9" s="98"/>
      <c r="I9" s="202" t="s">
        <v>56</v>
      </c>
      <c r="J9" s="109"/>
      <c r="K9" s="75" t="s">
        <v>56</v>
      </c>
    </row>
    <row r="10" spans="1:11" ht="36" customHeight="1">
      <c r="A10" s="75">
        <v>9</v>
      </c>
      <c r="B10" s="179"/>
      <c r="C10" s="97"/>
      <c r="D10" s="75"/>
      <c r="E10" s="96"/>
      <c r="F10" s="93"/>
      <c r="G10" s="202" t="s">
        <v>56</v>
      </c>
      <c r="H10" s="98"/>
      <c r="I10" s="202" t="s">
        <v>56</v>
      </c>
      <c r="J10" s="109"/>
      <c r="K10" s="75" t="s">
        <v>56</v>
      </c>
    </row>
    <row r="11" spans="1:11" ht="36" customHeight="1">
      <c r="A11" s="75">
        <v>10</v>
      </c>
      <c r="B11" s="180"/>
      <c r="C11" s="95"/>
      <c r="D11" s="75"/>
      <c r="E11" s="96"/>
      <c r="F11" s="93"/>
      <c r="G11" s="202" t="s">
        <v>56</v>
      </c>
      <c r="H11" s="98"/>
      <c r="I11" s="202" t="s">
        <v>56</v>
      </c>
      <c r="J11" s="109"/>
      <c r="K11" s="75" t="s">
        <v>56</v>
      </c>
    </row>
    <row r="12" spans="1:11" ht="36" customHeight="1">
      <c r="A12" s="81"/>
      <c r="B12" s="81"/>
      <c r="C12" s="81"/>
      <c r="D12" s="81"/>
      <c r="E12" s="100" t="s">
        <v>69</v>
      </c>
      <c r="F12" s="101">
        <f>SUM(F2:F11)</f>
        <v>0</v>
      </c>
      <c r="G12" s="102"/>
      <c r="H12" s="90">
        <f>SUM(H2:H11)</f>
        <v>0</v>
      </c>
      <c r="I12" s="104"/>
      <c r="J12" s="103"/>
      <c r="K12" s="74">
        <f t="array" ref="K12">SUM(H2:H11*IF(K2:K11="■",1,0))</f>
        <v>0</v>
      </c>
    </row>
    <row r="13" spans="1:11" ht="18" customHeight="1">
      <c r="G13" s="8"/>
      <c r="I13" s="8"/>
    </row>
    <row r="14" spans="1:11" ht="18" customHeight="1">
      <c r="G14" s="8"/>
      <c r="I14" s="8"/>
    </row>
  </sheetData>
  <customSheetViews>
    <customSheetView guid="{2ED08BFB-32F2-40DC-9FA0-3D6DF2CD2658}" showPageBreaks="1" showGridLines="0" fitToPage="1">
      <pane xSplit="3" ySplit="1" topLeftCell="D2" activePane="bottomRight" state="frozen"/>
      <selection pane="bottomRight" activeCell="L1" sqref="L1"/>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Ｐ明朝,太字"&amp;14②　預貯金・積立金目録</oddHeader>
        <oddFooter>&amp;R&amp;"ＭＳ Ｐ明朝,標準"ver.3.0</oddFooter>
      </headerFooter>
    </customSheetView>
    <customSheetView guid="{EDE077E3-93A2-422C-951E-2814F2FB5724}" showPageBreaks="1" showGridLines="0" fitToPage="1">
      <pane xSplit="3" ySplit="1" topLeftCell="D2" activePane="bottomRight" state="frozen"/>
      <selection pane="bottomRight" activeCell="I6" sqref="I6"/>
      <pageMargins left="0.78740157480314965" right="0.78740157480314965" top="1.5748031496062993" bottom="0.78740157480314965" header="1.1811023622047245" footer="0.51181102362204722"/>
      <pageSetup paperSize="9" scale="93" orientation="landscape" horizontalDpi="4294967293" verticalDpi="4294967293" r:id="rId2"/>
      <headerFooter alignWithMargins="0">
        <oddHeader>&amp;C&amp;"ＭＳ Ｐ明朝,太字"&amp;14②　預貯金・積立金目録</oddHeader>
        <oddFooter>&amp;R&amp;"ＭＳ Ｐ明朝,標準"ver.3.0</oddFooter>
      </headerFooter>
    </customSheetView>
    <customSheetView guid="{348C0A88-2D6B-48B4-929A-E6B77EACA73D}" showPageBreaks="1" showGridLines="0" fitToPage="1">
      <pane xSplit="3" ySplit="1" topLeftCell="D8" activePane="bottomRight" state="frozen"/>
      <selection pane="bottomRight" activeCell="L9" sqref="L9"/>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Ｐ明朝,太字"&amp;14②　預貯金・積立金目録</oddHeader>
        <oddFooter>&amp;R&amp;"ＭＳ Ｐ明朝,標準"ver.4.0</oddFooter>
      </headerFooter>
    </customSheetView>
    <customSheetView guid="{CB2864B2-4E22-42B2-A294-4D47309CF09D}" showPageBreaks="1" showGridLines="0" fitToPage="1">
      <pane xSplit="3" ySplit="1" topLeftCell="D2" activePane="bottomRight" state="frozen"/>
      <selection pane="bottomRight" activeCell="I9" sqref="I9"/>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Ｐ明朝,太字"&amp;14②　預貯金・積立金目録</oddHeader>
        <oddFooter>&amp;R&amp;"ＭＳ Ｐ明朝,標準"ver.3.0</oddFooter>
      </headerFooter>
    </customSheetView>
  </customSheetViews>
  <phoneticPr fontId="6"/>
  <conditionalFormatting sqref="H2:I11">
    <cfRule type="expression" dxfId="24" priority="1" stopIfTrue="1">
      <formula>ISBLANK(F2)</formula>
    </cfRule>
  </conditionalFormatting>
  <dataValidations count="2">
    <dataValidation imeMode="off" allowBlank="1" showInputMessage="1" showErrorMessage="1" sqref="L1:IV1048576 E1:F1048576 A1:A1048576 H1:H1048576 I1 I12:I1048576" xr:uid="{00000000-0002-0000-0100-000000000000}"/>
    <dataValidation imeMode="on" allowBlank="1" showInputMessage="1" showErrorMessage="1" sqref="B1:D1048576 G1:G1048576 J1:K1048576 I2:I11" xr:uid="{00000000-0002-0000-01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Ｐ明朝,太字"&amp;14②　預貯金・積立金目録</oddHeader>
    <oddFooter>&amp;C&amp;P&amp;R&amp;"ＭＳ Ｐ明朝,標準"ver.4.0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I14"/>
  <sheetViews>
    <sheetView showGridLines="0" zoomScaleNormal="9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19.875" style="2" customWidth="1"/>
    <col min="3" max="3" width="12.875" style="2" customWidth="1"/>
    <col min="4" max="4" width="20.25" style="2" customWidth="1"/>
    <col min="5" max="5" width="18" style="11" bestFit="1" customWidth="1"/>
    <col min="6" max="6" width="17.75" style="11" bestFit="1" customWidth="1"/>
    <col min="7" max="7" width="5" style="2" customWidth="1"/>
    <col min="8" max="8" width="20.25" style="6" customWidth="1"/>
    <col min="9" max="9" width="9.875" style="2" customWidth="1"/>
    <col min="10" max="16384" width="27" style="6"/>
  </cols>
  <sheetData>
    <row r="1" spans="1:9" s="46" customFormat="1" ht="52.5" customHeight="1" thickBot="1">
      <c r="A1" s="69" t="s">
        <v>99</v>
      </c>
      <c r="B1" s="69" t="s">
        <v>114</v>
      </c>
      <c r="C1" s="69" t="s">
        <v>19</v>
      </c>
      <c r="D1" s="69" t="s">
        <v>20</v>
      </c>
      <c r="E1" s="71" t="s">
        <v>120</v>
      </c>
      <c r="F1" s="71" t="s">
        <v>55</v>
      </c>
      <c r="G1" s="69" t="s">
        <v>21</v>
      </c>
      <c r="H1" s="69" t="s">
        <v>18</v>
      </c>
      <c r="I1" s="70" t="s">
        <v>57</v>
      </c>
    </row>
    <row r="2" spans="1:9" ht="36" customHeight="1" thickTop="1">
      <c r="A2" s="72">
        <v>1</v>
      </c>
      <c r="B2" s="190"/>
      <c r="C2" s="105"/>
      <c r="D2" s="73"/>
      <c r="E2" s="106"/>
      <c r="F2" s="106"/>
      <c r="G2" s="202" t="s">
        <v>56</v>
      </c>
      <c r="H2" s="169"/>
      <c r="I2" s="72" t="s">
        <v>56</v>
      </c>
    </row>
    <row r="3" spans="1:9" ht="36" customHeight="1">
      <c r="A3" s="72">
        <v>2</v>
      </c>
      <c r="B3" s="191"/>
      <c r="C3" s="105"/>
      <c r="D3" s="96"/>
      <c r="E3" s="106"/>
      <c r="F3" s="106"/>
      <c r="G3" s="202" t="s">
        <v>129</v>
      </c>
      <c r="H3" s="169"/>
      <c r="I3" s="72" t="s">
        <v>129</v>
      </c>
    </row>
    <row r="4" spans="1:9" ht="36" customHeight="1">
      <c r="A4" s="72">
        <v>3</v>
      </c>
      <c r="B4" s="191"/>
      <c r="C4" s="105"/>
      <c r="D4" s="96"/>
      <c r="E4" s="106"/>
      <c r="F4" s="106"/>
      <c r="G4" s="202" t="s">
        <v>129</v>
      </c>
      <c r="H4" s="108"/>
      <c r="I4" s="72" t="s">
        <v>129</v>
      </c>
    </row>
    <row r="5" spans="1:9" ht="36" customHeight="1">
      <c r="A5" s="72">
        <v>4</v>
      </c>
      <c r="B5" s="191"/>
      <c r="C5" s="75"/>
      <c r="D5" s="96"/>
      <c r="E5" s="106"/>
      <c r="F5" s="106"/>
      <c r="G5" s="202" t="s">
        <v>129</v>
      </c>
      <c r="H5" s="108"/>
      <c r="I5" s="72" t="s">
        <v>129</v>
      </c>
    </row>
    <row r="6" spans="1:9" ht="36" customHeight="1">
      <c r="A6" s="72">
        <v>5</v>
      </c>
      <c r="B6" s="191"/>
      <c r="C6" s="75"/>
      <c r="D6" s="96"/>
      <c r="E6" s="106"/>
      <c r="F6" s="181"/>
      <c r="G6" s="202" t="s">
        <v>56</v>
      </c>
      <c r="H6" s="108"/>
      <c r="I6" s="72" t="s">
        <v>129</v>
      </c>
    </row>
    <row r="7" spans="1:9" ht="36" customHeight="1">
      <c r="A7" s="72">
        <v>6</v>
      </c>
      <c r="B7" s="191"/>
      <c r="C7" s="75"/>
      <c r="D7" s="99"/>
      <c r="E7" s="182"/>
      <c r="F7" s="106"/>
      <c r="G7" s="202" t="s">
        <v>56</v>
      </c>
      <c r="H7" s="108"/>
      <c r="I7" s="72" t="s">
        <v>56</v>
      </c>
    </row>
    <row r="8" spans="1:9" ht="36" customHeight="1">
      <c r="A8" s="72">
        <v>7</v>
      </c>
      <c r="B8" s="191"/>
      <c r="C8" s="75"/>
      <c r="D8" s="99"/>
      <c r="E8" s="182"/>
      <c r="F8" s="106"/>
      <c r="G8" s="202" t="s">
        <v>56</v>
      </c>
      <c r="H8" s="108"/>
      <c r="I8" s="72" t="s">
        <v>56</v>
      </c>
    </row>
    <row r="9" spans="1:9" ht="36" customHeight="1">
      <c r="A9" s="72">
        <v>8</v>
      </c>
      <c r="B9" s="191"/>
      <c r="C9" s="75"/>
      <c r="D9" s="99"/>
      <c r="E9" s="182"/>
      <c r="F9" s="106"/>
      <c r="G9" s="202" t="s">
        <v>56</v>
      </c>
      <c r="H9" s="108"/>
      <c r="I9" s="75" t="s">
        <v>56</v>
      </c>
    </row>
    <row r="10" spans="1:9" ht="36" customHeight="1">
      <c r="A10" s="72">
        <v>9</v>
      </c>
      <c r="B10" s="191"/>
      <c r="C10" s="75"/>
      <c r="D10" s="96"/>
      <c r="E10" s="182"/>
      <c r="F10" s="106"/>
      <c r="G10" s="202" t="s">
        <v>56</v>
      </c>
      <c r="H10" s="108"/>
      <c r="I10" s="75" t="s">
        <v>56</v>
      </c>
    </row>
    <row r="11" spans="1:9" ht="36" customHeight="1">
      <c r="A11" s="75">
        <v>10</v>
      </c>
      <c r="B11" s="191"/>
      <c r="C11" s="75"/>
      <c r="D11" s="96"/>
      <c r="E11" s="182"/>
      <c r="F11" s="106"/>
      <c r="G11" s="202" t="s">
        <v>56</v>
      </c>
      <c r="H11" s="108"/>
      <c r="I11" s="75" t="s">
        <v>56</v>
      </c>
    </row>
    <row r="12" spans="1:9" ht="36" customHeight="1">
      <c r="A12" s="81"/>
      <c r="B12" s="81"/>
      <c r="C12" s="81"/>
      <c r="D12" s="72" t="s">
        <v>69</v>
      </c>
      <c r="E12" s="106">
        <f>SUM(E2:E11)</f>
        <v>0</v>
      </c>
      <c r="F12" s="106">
        <f>SUM(F2:F11)</f>
        <v>0</v>
      </c>
      <c r="G12" s="102"/>
      <c r="H12" s="103"/>
      <c r="I12" s="74">
        <f t="array" ref="I12">SUM(F2:F11*IF(I2:I11="■",1,0))</f>
        <v>0</v>
      </c>
    </row>
    <row r="13" spans="1:9" ht="27" customHeight="1">
      <c r="G13" s="8"/>
    </row>
    <row r="14" spans="1:9" ht="27" customHeight="1">
      <c r="G14" s="8"/>
    </row>
  </sheetData>
  <customSheetViews>
    <customSheetView guid="{2ED08BFB-32F2-40DC-9FA0-3D6DF2CD2658}" showPageBreaks="1" showGridLines="0" fitToPage="1">
      <pane xSplit="2" ySplit="1" topLeftCell="C2" activePane="bottomRight" state="frozen"/>
      <selection pane="bottomRight" activeCell="F5" sqref="F5"/>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Ｐ明朝,太字"&amp;14③　保険目録</oddHeader>
        <oddFooter>&amp;R&amp;"ＭＳ Ｐ明朝,標準"ver.3.0</oddFooter>
      </headerFooter>
    </customSheetView>
    <customSheetView guid="{EDE077E3-93A2-422C-951E-2814F2FB5724}" showPageBreaks="1" showGridLines="0" fitToPage="1">
      <pane xSplit="2" ySplit="1" topLeftCell="C2" activePane="bottomRight" state="frozen"/>
      <selection pane="bottomRight" activeCell="G2" sqref="G2:G11"/>
      <pageMargins left="0.78740157480314965" right="0.78740157480314965" top="1.5748031496062993" bottom="0.78740157480314965" header="1.1811023622047245" footer="0.51181102362204722"/>
      <pageSetup paperSize="9" scale="93" orientation="landscape" horizontalDpi="4294967293" verticalDpi="4294967293" r:id="rId2"/>
      <headerFooter alignWithMargins="0">
        <oddHeader>&amp;C&amp;"ＭＳ Ｐ明朝,太字"&amp;14③　保険目録</oddHeader>
        <oddFooter>&amp;R&amp;"ＭＳ Ｐ明朝,標準"ver.3.0</oddFooter>
      </headerFooter>
    </customSheetView>
    <customSheetView guid="{348C0A88-2D6B-48B4-929A-E6B77EACA73D}" showPageBreaks="1" showGridLines="0" fitToPage="1">
      <pane xSplit="2" ySplit="1" topLeftCell="C5" activePane="bottomRight" state="frozen"/>
      <selection pane="bottomRight" activeCell="H8" sqref="H8"/>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Ｐ明朝,太字"&amp;14③　保険目録</oddHeader>
        <oddFooter>&amp;R&amp;"ＭＳ Ｐ明朝,標準"ver.4.0</oddFooter>
      </headerFooter>
    </customSheetView>
    <customSheetView guid="{CB2864B2-4E22-42B2-A294-4D47309CF09D}" showPageBreaks="1" showGridLines="0" fitToPage="1">
      <pane xSplit="2" ySplit="1" topLeftCell="C5" activePane="bottomRight" state="frozen"/>
      <selection pane="bottomRight" activeCell="D10" sqref="D10"/>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Ｐ明朝,太字"&amp;14③　保険目録</oddHeader>
        <oddFooter>&amp;R&amp;"ＭＳ Ｐ明朝,標準"ver.3.0</oddFooter>
      </headerFooter>
    </customSheetView>
  </customSheetViews>
  <phoneticPr fontId="6"/>
  <conditionalFormatting sqref="F2:G6 F8:G11">
    <cfRule type="expression" dxfId="23" priority="2" stopIfTrue="1">
      <formula>ISBLANK(E2)</formula>
    </cfRule>
  </conditionalFormatting>
  <conditionalFormatting sqref="F7:G7">
    <cfRule type="expression" dxfId="22" priority="1" stopIfTrue="1">
      <formula>ISBLANK(E7)</formula>
    </cfRule>
  </conditionalFormatting>
  <dataValidations count="2">
    <dataValidation imeMode="off" allowBlank="1" showInputMessage="1" showErrorMessage="1" sqref="A1:A1048576 J1:IV1048576 D1:F1048576 G1 G12:G1048576" xr:uid="{00000000-0002-0000-0200-000000000000}"/>
    <dataValidation imeMode="on" allowBlank="1" showInputMessage="1" showErrorMessage="1" sqref="H1:I1048576 B1:C1048576 G2:G11" xr:uid="{00000000-0002-0000-02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Ｐ明朝,太字"&amp;14③　保険目録</oddHeader>
    <oddFooter>&amp;C&amp;P&amp;R&amp;"ＭＳ Ｐ明朝,標準"ver.4.0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K11"/>
  <sheetViews>
    <sheetView showGridLines="0"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customWidth="1"/>
    <col min="2" max="2" width="15.25" style="2" bestFit="1" customWidth="1"/>
    <col min="3" max="3" width="11.25" style="2" bestFit="1" customWidth="1"/>
    <col min="4" max="4" width="20.625" style="2" bestFit="1" customWidth="1"/>
    <col min="5" max="5" width="15.5" style="6" customWidth="1"/>
    <col min="6" max="6" width="11.5" style="11" customWidth="1"/>
    <col min="7" max="7" width="11.625" style="11" customWidth="1"/>
    <col min="8" max="9" width="5" style="6" customWidth="1"/>
    <col min="10" max="10" width="14.875" style="6" bestFit="1" customWidth="1"/>
    <col min="11" max="11" width="9.875" style="2" customWidth="1"/>
    <col min="12" max="16384" width="27" style="6"/>
  </cols>
  <sheetData>
    <row r="1" spans="1:11" s="46" customFormat="1" ht="53.25" customHeight="1" thickBot="1">
      <c r="A1" s="69" t="s">
        <v>99</v>
      </c>
      <c r="B1" s="69" t="s">
        <v>27</v>
      </c>
      <c r="C1" s="70" t="s">
        <v>90</v>
      </c>
      <c r="D1" s="69" t="s">
        <v>28</v>
      </c>
      <c r="E1" s="69" t="s">
        <v>29</v>
      </c>
      <c r="F1" s="71" t="s">
        <v>96</v>
      </c>
      <c r="G1" s="71" t="s">
        <v>97</v>
      </c>
      <c r="H1" s="117" t="s">
        <v>108</v>
      </c>
      <c r="I1" s="205" t="s">
        <v>111</v>
      </c>
      <c r="J1" s="70" t="s">
        <v>46</v>
      </c>
      <c r="K1" s="70" t="s">
        <v>57</v>
      </c>
    </row>
    <row r="2" spans="1:11" ht="45" customHeight="1" thickTop="1">
      <c r="A2" s="72">
        <v>1</v>
      </c>
      <c r="B2" s="190"/>
      <c r="C2" s="73"/>
      <c r="D2" s="72"/>
      <c r="E2" s="169"/>
      <c r="F2" s="106"/>
      <c r="G2" s="106"/>
      <c r="H2" s="202" t="s">
        <v>56</v>
      </c>
      <c r="I2" s="202" t="s">
        <v>56</v>
      </c>
      <c r="J2" s="183"/>
      <c r="K2" s="72" t="s">
        <v>56</v>
      </c>
    </row>
    <row r="3" spans="1:11" ht="45" customHeight="1">
      <c r="A3" s="75">
        <v>2</v>
      </c>
      <c r="B3" s="190"/>
      <c r="C3" s="73"/>
      <c r="D3" s="75"/>
      <c r="E3" s="169"/>
      <c r="F3" s="182"/>
      <c r="G3" s="106"/>
      <c r="H3" s="202" t="s">
        <v>56</v>
      </c>
      <c r="I3" s="202" t="s">
        <v>56</v>
      </c>
      <c r="J3" s="184"/>
      <c r="K3" s="75" t="s">
        <v>56</v>
      </c>
    </row>
    <row r="4" spans="1:11" ht="45" customHeight="1">
      <c r="A4" s="75">
        <v>3</v>
      </c>
      <c r="B4" s="169"/>
      <c r="C4" s="72"/>
      <c r="D4" s="75"/>
      <c r="E4" s="108"/>
      <c r="F4" s="182"/>
      <c r="G4" s="106"/>
      <c r="H4" s="202" t="s">
        <v>56</v>
      </c>
      <c r="I4" s="202" t="s">
        <v>56</v>
      </c>
      <c r="J4" s="185"/>
      <c r="K4" s="75" t="s">
        <v>56</v>
      </c>
    </row>
    <row r="5" spans="1:11" ht="45" customHeight="1">
      <c r="A5" s="75">
        <v>4</v>
      </c>
      <c r="B5" s="108"/>
      <c r="C5" s="75"/>
      <c r="D5" s="75"/>
      <c r="E5" s="108"/>
      <c r="F5" s="182"/>
      <c r="G5" s="106"/>
      <c r="H5" s="202" t="s">
        <v>56</v>
      </c>
      <c r="I5" s="202" t="s">
        <v>56</v>
      </c>
      <c r="J5" s="185"/>
      <c r="K5" s="75" t="s">
        <v>56</v>
      </c>
    </row>
    <row r="6" spans="1:11" ht="45" customHeight="1">
      <c r="A6" s="75">
        <v>5</v>
      </c>
      <c r="B6" s="108"/>
      <c r="C6" s="75"/>
      <c r="D6" s="79"/>
      <c r="E6" s="108"/>
      <c r="F6" s="182"/>
      <c r="G6" s="106"/>
      <c r="H6" s="202" t="s">
        <v>56</v>
      </c>
      <c r="I6" s="202" t="s">
        <v>56</v>
      </c>
      <c r="J6" s="185"/>
      <c r="K6" s="75" t="s">
        <v>56</v>
      </c>
    </row>
    <row r="7" spans="1:11" ht="45" customHeight="1">
      <c r="A7" s="75">
        <v>6</v>
      </c>
      <c r="B7" s="108"/>
      <c r="C7" s="75"/>
      <c r="D7" s="75"/>
      <c r="E7" s="108"/>
      <c r="F7" s="182"/>
      <c r="G7" s="106"/>
      <c r="H7" s="202" t="s">
        <v>56</v>
      </c>
      <c r="I7" s="202" t="s">
        <v>56</v>
      </c>
      <c r="J7" s="185"/>
      <c r="K7" s="75" t="s">
        <v>56</v>
      </c>
    </row>
    <row r="8" spans="1:11" ht="45" customHeight="1">
      <c r="A8" s="80"/>
      <c r="B8" s="80"/>
      <c r="C8" s="80"/>
      <c r="D8" s="81"/>
      <c r="E8" s="77" t="s">
        <v>69</v>
      </c>
      <c r="F8" s="76">
        <f>SUM(F2:F7)</f>
        <v>0</v>
      </c>
      <c r="G8" s="76">
        <f>SUM(G2:G7)</f>
        <v>0</v>
      </c>
      <c r="H8" s="82"/>
      <c r="I8" s="82"/>
      <c r="J8" s="83"/>
      <c r="K8" s="76">
        <f t="array" ref="K8">SUM(G2:G7*IF(K2:K7="■",1,0))</f>
        <v>0</v>
      </c>
    </row>
    <row r="9" spans="1:11" ht="27" customHeight="1">
      <c r="J9" s="5"/>
    </row>
    <row r="10" spans="1:11" ht="27" customHeight="1">
      <c r="J10" s="5"/>
    </row>
    <row r="11" spans="1:11" ht="27" customHeight="1">
      <c r="J11" s="5"/>
    </row>
  </sheetData>
  <customSheetViews>
    <customSheetView guid="{2ED08BFB-32F2-40DC-9FA0-3D6DF2CD2658}" showPageBreaks="1" showGridLines="0" fitToPage="1">
      <pane xSplit="2" ySplit="1" topLeftCell="C2" activePane="bottomRight" state="frozen"/>
      <selection pane="bottomRight" activeCell="B1" sqref="B1"/>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Ｐ明朝,太字"&amp;14④　自動車目録</oddHeader>
        <oddFooter>&amp;R&amp;"ＭＳ Ｐ明朝,標準"ver.3.0</oddFooter>
      </headerFooter>
    </customSheetView>
    <customSheetView guid="{EDE077E3-93A2-422C-951E-2814F2FB5724}" showPageBreaks="1" showGridLines="0" fitToPage="1">
      <pane xSplit="2" ySplit="1" topLeftCell="C2" activePane="bottomRight" state="frozen"/>
      <selection pane="bottomRight" activeCell="J2" sqref="J2:J7"/>
      <pageMargins left="0.78740157480314965" right="0.78740157480314965" top="1.5748031496062993" bottom="0.78740157480314965" header="1.1811023622047245" footer="0.51181102362204722"/>
      <pageSetup paperSize="9" orientation="landscape" horizontalDpi="4294967293" verticalDpi="4294967293" r:id="rId2"/>
      <headerFooter alignWithMargins="0">
        <oddHeader>&amp;C&amp;"ＭＳ Ｐ明朝,太字"&amp;14④　自動車目録</oddHeader>
        <oddFooter>&amp;R&amp;"ＭＳ Ｐ明朝,標準"ver.3.0</oddFooter>
      </headerFooter>
    </customSheetView>
    <customSheetView guid="{348C0A88-2D6B-48B4-929A-E6B77EACA73D}" showPageBreaks="1" showGridLines="0" fitToPage="1">
      <pane xSplit="2" ySplit="1" topLeftCell="C2" activePane="bottomRight" state="frozen"/>
      <selection pane="bottomRight" activeCell="G6" sqref="G6"/>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Ｐ明朝,太字"&amp;14④　自動車目録</oddHeader>
        <oddFooter>&amp;R&amp;"ＭＳ Ｐ明朝,標準"ver.4.0</oddFooter>
      </headerFooter>
    </customSheetView>
    <customSheetView guid="{CB2864B2-4E22-42B2-A294-4D47309CF09D}" showPageBreaks="1" showGridLines="0" fitToPage="1">
      <pane xSplit="2" ySplit="1" topLeftCell="C2" activePane="bottomRight" state="frozen"/>
      <selection pane="bottomRight" activeCell="G6" sqref="G6"/>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Ｐ明朝,太字"&amp;14④　自動車目録</oddHeader>
        <oddFooter>&amp;R&amp;"ＭＳ Ｐ明朝,標準"ver.3.0</oddFooter>
      </headerFooter>
    </customSheetView>
  </customSheetViews>
  <phoneticPr fontId="6"/>
  <conditionalFormatting sqref="G2:G7">
    <cfRule type="expression" dxfId="21" priority="1" stopIfTrue="1">
      <formula>ISBLANK(F2)</formula>
    </cfRule>
  </conditionalFormatting>
  <dataValidations count="2">
    <dataValidation imeMode="off" allowBlank="1" showInputMessage="1" showErrorMessage="1" sqref="K8 C4:C65536 A1:A1048576 C1:C2 L1:IV1048576 F1:G1048576" xr:uid="{00000000-0002-0000-0300-000000000000}"/>
    <dataValidation imeMode="on" allowBlank="1" showInputMessage="1" showErrorMessage="1" sqref="K9:K65536 C3 D65520:E65536 D9:D65519 E8:E65519 B1:B1048576 D1:E7 H1:J1048576 K1:K7" xr:uid="{00000000-0002-0000-03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Ｐ明朝,太字"&amp;14④　自動車目録</oddHeader>
    <oddFooter>&amp;C&amp;P&amp;R&amp;"ＭＳ Ｐ明朝,標準"ver.4.0</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J8"/>
  <sheetViews>
    <sheetView showGridLines="0"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6" bestFit="1" customWidth="1"/>
    <col min="2" max="2" width="19.875" style="2" bestFit="1" customWidth="1"/>
    <col min="3" max="3" width="15" style="28" customWidth="1"/>
    <col min="4" max="4" width="14.875" style="28" customWidth="1"/>
    <col min="5" max="5" width="15" style="28" customWidth="1"/>
    <col min="6" max="7" width="15" style="11" customWidth="1"/>
    <col min="8" max="8" width="5" style="2" customWidth="1"/>
    <col min="9" max="9" width="17.125" style="11" customWidth="1"/>
    <col min="10" max="10" width="9.875" style="2" customWidth="1"/>
    <col min="11" max="16384" width="27" style="6"/>
  </cols>
  <sheetData>
    <row r="1" spans="1:10" s="46" customFormat="1" ht="52.5" customHeight="1" thickBot="1">
      <c r="A1" s="59" t="s">
        <v>54</v>
      </c>
      <c r="B1" s="59" t="s">
        <v>22</v>
      </c>
      <c r="C1" s="62" t="s">
        <v>37</v>
      </c>
      <c r="D1" s="61" t="s">
        <v>38</v>
      </c>
      <c r="E1" s="61" t="s">
        <v>39</v>
      </c>
      <c r="F1" s="61" t="s">
        <v>113</v>
      </c>
      <c r="G1" s="61" t="s">
        <v>40</v>
      </c>
      <c r="H1" s="60" t="s">
        <v>116</v>
      </c>
      <c r="I1" s="61" t="s">
        <v>46</v>
      </c>
      <c r="J1" s="60" t="s">
        <v>57</v>
      </c>
    </row>
    <row r="2" spans="1:10" ht="54" customHeight="1" thickTop="1">
      <c r="A2" s="1">
        <v>1</v>
      </c>
      <c r="B2" s="186"/>
      <c r="C2" s="21"/>
      <c r="D2" s="21">
        <f>C2</f>
        <v>0</v>
      </c>
      <c r="E2" s="21"/>
      <c r="F2" s="21"/>
      <c r="G2" s="21"/>
      <c r="H2" s="203" t="s">
        <v>56</v>
      </c>
      <c r="I2" s="170"/>
      <c r="J2" s="1" t="s">
        <v>56</v>
      </c>
    </row>
    <row r="3" spans="1:10" ht="54" customHeight="1">
      <c r="A3" s="1">
        <v>2</v>
      </c>
      <c r="B3" s="187"/>
      <c r="C3" s="189"/>
      <c r="D3" s="21">
        <f>C3</f>
        <v>0</v>
      </c>
      <c r="E3" s="21"/>
      <c r="F3" s="21"/>
      <c r="G3" s="21"/>
      <c r="H3" s="203" t="s">
        <v>56</v>
      </c>
      <c r="I3" s="170"/>
      <c r="J3" s="3" t="s">
        <v>56</v>
      </c>
    </row>
    <row r="4" spans="1:10" ht="54" customHeight="1">
      <c r="A4" s="1">
        <v>3</v>
      </c>
      <c r="B4" s="188"/>
      <c r="C4" s="20"/>
      <c r="D4" s="21">
        <f>C4</f>
        <v>0</v>
      </c>
      <c r="E4" s="20"/>
      <c r="F4" s="20"/>
      <c r="G4" s="21"/>
      <c r="H4" s="203" t="s">
        <v>56</v>
      </c>
      <c r="I4" s="170"/>
      <c r="J4" s="3" t="s">
        <v>56</v>
      </c>
    </row>
    <row r="5" spans="1:10" ht="54" customHeight="1">
      <c r="A5" s="1">
        <v>4</v>
      </c>
      <c r="B5" s="188"/>
      <c r="C5" s="20"/>
      <c r="D5" s="21">
        <f>C5</f>
        <v>0</v>
      </c>
      <c r="E5" s="20"/>
      <c r="F5" s="20"/>
      <c r="G5" s="21"/>
      <c r="H5" s="203" t="s">
        <v>56</v>
      </c>
      <c r="I5" s="170"/>
      <c r="J5" s="3" t="s">
        <v>56</v>
      </c>
    </row>
    <row r="6" spans="1:10" ht="54.75" customHeight="1">
      <c r="B6" s="3" t="s">
        <v>121</v>
      </c>
      <c r="C6" s="20">
        <f>SUM(C2:C5)</f>
        <v>0</v>
      </c>
      <c r="D6" s="20">
        <f>SUM(D2:D5)</f>
        <v>0</v>
      </c>
      <c r="E6" s="20">
        <f>SUM(E2:E5)</f>
        <v>0</v>
      </c>
      <c r="F6" s="20">
        <f>SUM(F2:F5)</f>
        <v>0</v>
      </c>
      <c r="G6" s="20">
        <f>SUM(G2:G5)</f>
        <v>0</v>
      </c>
      <c r="H6" s="8"/>
      <c r="I6" s="64"/>
      <c r="J6" s="9">
        <f t="array" ref="J6">SUM(G2:G5*IF(J2:J5="■",1,0))</f>
        <v>0</v>
      </c>
    </row>
    <row r="7" spans="1:10" ht="27" customHeight="1">
      <c r="H7" s="8"/>
    </row>
    <row r="8" spans="1:10" ht="27" customHeight="1">
      <c r="H8" s="8"/>
    </row>
  </sheetData>
  <customSheetViews>
    <customSheetView guid="{2ED08BFB-32F2-40DC-9FA0-3D6DF2CD2658}" showPageBreaks="1" showGridLines="0" fitToPage="1">
      <pane xSplit="2" ySplit="1" topLeftCell="C2" activePane="bottomRight" state="frozen"/>
      <selection pane="bottomRight" activeCell="F2" sqref="F2"/>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Ｐ明朝,太字"&amp;14⑤　賃借保証金・敷金目録</oddHeader>
        <oddFooter>&amp;R&amp;"ＭＳ Ｐ明朝,標準"ver.3.0</oddFooter>
      </headerFooter>
    </customSheetView>
    <customSheetView guid="{EDE077E3-93A2-422C-951E-2814F2FB5724}" showPageBreaks="1" showGridLines="0" fitToPage="1">
      <pane xSplit="2" ySplit="1" topLeftCell="C2" activePane="bottomRight" state="frozen"/>
      <selection pane="bottomRight" activeCell="H2" sqref="H2:H5"/>
      <pageMargins left="0.78740157480314965" right="0.78740157480314965" top="1.5748031496062993" bottom="0.78740157480314965" header="1.1811023622047245" footer="0.51181102362204722"/>
      <pageSetup paperSize="9" scale="98" orientation="landscape" horizontalDpi="4294967293" verticalDpi="4294967293" r:id="rId2"/>
      <headerFooter alignWithMargins="0">
        <oddHeader>&amp;C&amp;"ＭＳ Ｐ明朝,太字"&amp;14⑤　賃借保証金・敷金目録</oddHeader>
        <oddFooter>&amp;R&amp;"ＭＳ Ｐ明朝,標準"ver.3.0</oddFooter>
      </headerFooter>
    </customSheetView>
    <customSheetView guid="{348C0A88-2D6B-48B4-929A-E6B77EACA73D}" showPageBreaks="1" showGridLines="0" fitToPage="1">
      <pane xSplit="2" ySplit="1" topLeftCell="C2" activePane="bottomRight" state="frozen"/>
      <selection pane="bottomRight" activeCell="H2" sqref="H2"/>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Ｐ明朝,太字"&amp;14⑤　賃借保証金・敷金目録</oddHeader>
        <oddFooter>&amp;R&amp;"ＭＳ Ｐ明朝,標準"ver.4.0</oddFooter>
      </headerFooter>
    </customSheetView>
    <customSheetView guid="{CB2864B2-4E22-42B2-A294-4D47309CF09D}" showPageBreaks="1" showGridLines="0" fitToPage="1">
      <pane xSplit="2" ySplit="1" topLeftCell="C2" activePane="bottomRight" state="frozen"/>
      <selection pane="bottomRight" activeCell="G4" sqref="G4"/>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Ｐ明朝,太字"&amp;14⑤　賃借保証金・敷金目録</oddHeader>
        <oddFooter>&amp;R&amp;"ＭＳ Ｐ明朝,標準"ver.3.0</oddFooter>
      </headerFooter>
    </customSheetView>
  </customSheetViews>
  <phoneticPr fontId="6"/>
  <conditionalFormatting sqref="D2:D5">
    <cfRule type="expression" dxfId="20" priority="1" stopIfTrue="1">
      <formula>ISBLANK(C2)</formula>
    </cfRule>
  </conditionalFormatting>
  <conditionalFormatting sqref="F2:H5">
    <cfRule type="expression" dxfId="19" priority="2" stopIfTrue="1">
      <formula>ISBLANK(E2)</formula>
    </cfRule>
  </conditionalFormatting>
  <conditionalFormatting sqref="I2:I5">
    <cfRule type="expression" dxfId="18" priority="4" stopIfTrue="1">
      <formula>ISBLANK(G2)</formula>
    </cfRule>
  </conditionalFormatting>
  <dataValidations count="2">
    <dataValidation imeMode="off" allowBlank="1" showInputMessage="1" showErrorMessage="1" sqref="K1:IV1048576 A1:A1048576 C1:G1048576 H6:H1048576 H1 I1 I6:I1048576" xr:uid="{00000000-0002-0000-0400-000000000000}"/>
    <dataValidation imeMode="on" allowBlank="1" showInputMessage="1" showErrorMessage="1" sqref="B1:B1048576 J1:J1048576 H2:H5 I2:I5" xr:uid="{00000000-0002-0000-04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Ｐ明朝,太字"&amp;14⑤　賃借保証金・敷金目録</oddHeader>
    <oddFooter>&amp;C&amp;P&amp;R&amp;"ＭＳ Ｐ明朝,標準"ver.4.0</oddFooter>
  </headerFooter>
  <legacy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I8"/>
  <sheetViews>
    <sheetView showGridLines="0"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18" customHeight="1"/>
  <cols>
    <col min="1" max="1" width="4.625" style="2" bestFit="1" customWidth="1"/>
    <col min="2" max="2" width="27.5" style="2" customWidth="1"/>
    <col min="3" max="3" width="11.125" style="32" bestFit="1" customWidth="1"/>
    <col min="4" max="5" width="16.75" style="11" customWidth="1"/>
    <col min="6" max="7" width="5" style="2" customWidth="1"/>
    <col min="8" max="8" width="26.625" style="6" customWidth="1"/>
    <col min="9" max="9" width="9.875" style="2" customWidth="1"/>
    <col min="10" max="16384" width="27" style="6"/>
  </cols>
  <sheetData>
    <row r="1" spans="1:9" s="46" customFormat="1" ht="52.5" customHeight="1" thickBot="1">
      <c r="A1" s="59" t="s">
        <v>63</v>
      </c>
      <c r="B1" s="59" t="s">
        <v>115</v>
      </c>
      <c r="C1" s="63" t="s">
        <v>65</v>
      </c>
      <c r="D1" s="62" t="s">
        <v>66</v>
      </c>
      <c r="E1" s="62" t="s">
        <v>67</v>
      </c>
      <c r="F1" s="60" t="s">
        <v>68</v>
      </c>
      <c r="G1" s="60" t="s">
        <v>122</v>
      </c>
      <c r="H1" s="60" t="s">
        <v>36</v>
      </c>
      <c r="I1" s="60" t="s">
        <v>57</v>
      </c>
    </row>
    <row r="2" spans="1:9" ht="54" customHeight="1" thickTop="1">
      <c r="A2" s="1">
        <v>1</v>
      </c>
      <c r="B2" s="236"/>
      <c r="C2" s="68"/>
      <c r="D2" s="25"/>
      <c r="E2" s="25">
        <f>ROUNDUP(D2/8,0)</f>
        <v>0</v>
      </c>
      <c r="F2" s="203" t="s">
        <v>56</v>
      </c>
      <c r="G2" s="203" t="s">
        <v>56</v>
      </c>
      <c r="H2" s="171"/>
      <c r="I2" s="1" t="s">
        <v>56</v>
      </c>
    </row>
    <row r="3" spans="1:9" ht="54" customHeight="1">
      <c r="A3" s="3">
        <v>2</v>
      </c>
      <c r="B3" s="236"/>
      <c r="C3" s="43"/>
      <c r="D3" s="25"/>
      <c r="E3" s="25">
        <f t="shared" ref="E3:E5" si="0">ROUNDUP(D3/8,0)</f>
        <v>0</v>
      </c>
      <c r="F3" s="203" t="s">
        <v>56</v>
      </c>
      <c r="G3" s="203" t="s">
        <v>56</v>
      </c>
      <c r="H3" s="171"/>
      <c r="I3" s="3" t="s">
        <v>64</v>
      </c>
    </row>
    <row r="4" spans="1:9" ht="54" customHeight="1">
      <c r="A4" s="3">
        <v>3</v>
      </c>
      <c r="B4" s="236"/>
      <c r="C4" s="43"/>
      <c r="D4" s="25"/>
      <c r="E4" s="25">
        <f t="shared" si="0"/>
        <v>0</v>
      </c>
      <c r="F4" s="203" t="s">
        <v>56</v>
      </c>
      <c r="G4" s="203" t="s">
        <v>56</v>
      </c>
      <c r="H4" s="172"/>
      <c r="I4" s="3" t="s">
        <v>64</v>
      </c>
    </row>
    <row r="5" spans="1:9" ht="54" customHeight="1">
      <c r="A5" s="3">
        <v>4</v>
      </c>
      <c r="B5" s="237"/>
      <c r="C5" s="44"/>
      <c r="D5" s="25"/>
      <c r="E5" s="25">
        <f t="shared" si="0"/>
        <v>0</v>
      </c>
      <c r="F5" s="203" t="s">
        <v>56</v>
      </c>
      <c r="G5" s="203" t="s">
        <v>56</v>
      </c>
      <c r="H5" s="172"/>
      <c r="I5" s="3" t="s">
        <v>64</v>
      </c>
    </row>
    <row r="6" spans="1:9" ht="54" customHeight="1">
      <c r="C6" s="31" t="s">
        <v>69</v>
      </c>
      <c r="D6" s="26">
        <f>SUM(D2:D5)</f>
        <v>0</v>
      </c>
      <c r="E6" s="26">
        <f>SUM(E2:E5)</f>
        <v>0</v>
      </c>
      <c r="F6" s="7"/>
      <c r="G6" s="7"/>
      <c r="I6" s="10">
        <f t="array" ref="I6">SUM(E2:E5*IF(I2:I5="■",1,0))</f>
        <v>0</v>
      </c>
    </row>
    <row r="7" spans="1:9" ht="18" customHeight="1">
      <c r="F7" s="8"/>
      <c r="G7" s="8"/>
    </row>
    <row r="8" spans="1:9" ht="18" customHeight="1">
      <c r="F8" s="8"/>
      <c r="G8" s="8"/>
    </row>
  </sheetData>
  <customSheetViews>
    <customSheetView guid="{2ED08BFB-32F2-40DC-9FA0-3D6DF2CD2658}" showPageBreaks="1" showGridLines="0" fitToPage="1">
      <pane xSplit="2" ySplit="1" topLeftCell="C2" activePane="bottomRight" state="frozen"/>
      <selection pane="bottomRight" activeCell="B2" sqref="B2"/>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Ｐ明朝,太字"&amp;14⑦　退職金目録</oddHeader>
        <oddFooter>&amp;R&amp;"ＭＳ Ｐ明朝,標準"ver.3.0</oddFooter>
      </headerFooter>
    </customSheetView>
    <customSheetView guid="{EDE077E3-93A2-422C-951E-2814F2FB5724}" showPageBreaks="1" showGridLines="0" fitToPage="1">
      <pane xSplit="2" ySplit="1" topLeftCell="C2" activePane="bottomRight" state="frozen"/>
      <selection pane="bottomRight" activeCell="F2" sqref="F2:F5"/>
      <pageMargins left="0.78740157480314965" right="0.78740157480314965" top="1.5748031496062993" bottom="0.78740157480314965" header="1.1811023622047245" footer="0.51181102362204722"/>
      <pageSetup paperSize="9" orientation="landscape" horizontalDpi="4294967293" verticalDpi="4294967293" r:id="rId2"/>
      <headerFooter alignWithMargins="0">
        <oddHeader>&amp;C&amp;"ＭＳ Ｐ明朝,太字"&amp;14⑦　退職金目録</oddHeader>
        <oddFooter>&amp;R&amp;"ＭＳ Ｐ明朝,標準"ver.3.0</oddFooter>
      </headerFooter>
    </customSheetView>
    <customSheetView guid="{348C0A88-2D6B-48B4-929A-E6B77EACA73D}" showPageBreaks="1" showGridLines="0" fitToPage="1">
      <pane xSplit="2" ySplit="1" topLeftCell="C2" activePane="bottomRight" state="frozen"/>
      <selection pane="bottomRight" activeCell="D4" sqref="D4"/>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Ｐ明朝,太字"&amp;14⑦　退職金目録</oddHeader>
        <oddFooter>&amp;R&amp;"ＭＳ Ｐ明朝,標準"ver.4.0</oddFooter>
      </headerFooter>
    </customSheetView>
    <customSheetView guid="{CB2864B2-4E22-42B2-A294-4D47309CF09D}" showPageBreaks="1" showGridLines="0" fitToPage="1">
      <pane xSplit="2" ySplit="1" topLeftCell="C2" activePane="bottomRight" state="frozen"/>
      <selection pane="bottomRight" activeCell="D4" sqref="D4"/>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Ｐ明朝,太字"&amp;14⑦　退職金目録</oddHeader>
        <oddFooter>&amp;R&amp;"ＭＳ Ｐ明朝,標準"ver.3.0</oddFooter>
      </headerFooter>
    </customSheetView>
  </customSheetViews>
  <phoneticPr fontId="6"/>
  <conditionalFormatting sqref="D2:G5">
    <cfRule type="expression" dxfId="17" priority="1" stopIfTrue="1">
      <formula>ISBLANK(C2)</formula>
    </cfRule>
  </conditionalFormatting>
  <dataValidations count="2">
    <dataValidation imeMode="off" allowBlank="1" showInputMessage="1" showErrorMessage="1" sqref="J1:IV1048576 A1:A1048576 F6:G1048576 F1:G1 C1:E1048576" xr:uid="{00000000-0002-0000-0500-000000000000}"/>
    <dataValidation imeMode="on" allowBlank="1" showInputMessage="1" showErrorMessage="1" sqref="B1:B1048576 H1:I1048576 F2:G5" xr:uid="{00000000-0002-0000-05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Ｐ明朝,太字"&amp;14⑥　退職金目録</oddHeader>
    <oddFooter>&amp;C&amp;P&amp;R&amp;"ＭＳ Ｐ明朝,標準"ver.4.0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pageSetUpPr fitToPage="1"/>
  </sheetPr>
  <dimension ref="A1:I13"/>
  <sheetViews>
    <sheetView showGridLines="0" zoomScale="90" zoomScaleNormal="90" zoomScaleSheetLayoutView="100"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1.125" style="2" customWidth="1"/>
    <col min="3" max="3" width="13.625" style="2" customWidth="1"/>
    <col min="4" max="6" width="13.75" style="11" customWidth="1"/>
    <col min="7" max="7" width="11.25" style="11" customWidth="1"/>
    <col min="8" max="8" width="28.875" style="11" customWidth="1"/>
    <col min="9" max="9" width="9.875" style="2" customWidth="1"/>
    <col min="10" max="16384" width="27" style="6"/>
  </cols>
  <sheetData>
    <row r="1" spans="1:9" s="46" customFormat="1" ht="52.5" customHeight="1" thickBot="1">
      <c r="A1" s="69" t="s">
        <v>102</v>
      </c>
      <c r="B1" s="206" t="s">
        <v>117</v>
      </c>
      <c r="C1" s="69" t="s">
        <v>94</v>
      </c>
      <c r="D1" s="71" t="s">
        <v>124</v>
      </c>
      <c r="E1" s="71" t="s">
        <v>125</v>
      </c>
      <c r="F1" s="71" t="s">
        <v>95</v>
      </c>
      <c r="G1" s="71" t="s">
        <v>126</v>
      </c>
      <c r="H1" s="71" t="s">
        <v>46</v>
      </c>
      <c r="I1" s="70" t="s">
        <v>57</v>
      </c>
    </row>
    <row r="2" spans="1:9" ht="36" customHeight="1" thickTop="1">
      <c r="A2" s="72">
        <v>1</v>
      </c>
      <c r="B2" s="190"/>
      <c r="C2" s="111"/>
      <c r="D2" s="111"/>
      <c r="E2" s="111"/>
      <c r="F2" s="111"/>
      <c r="G2" s="202" t="s">
        <v>56</v>
      </c>
      <c r="H2" s="168"/>
      <c r="I2" s="72" t="s">
        <v>100</v>
      </c>
    </row>
    <row r="3" spans="1:9" ht="36" customHeight="1">
      <c r="A3" s="72">
        <v>2</v>
      </c>
      <c r="B3" s="191"/>
      <c r="C3" s="111"/>
      <c r="D3" s="111"/>
      <c r="E3" s="111"/>
      <c r="F3" s="111"/>
      <c r="G3" s="202" t="s">
        <v>129</v>
      </c>
      <c r="H3" s="238"/>
      <c r="I3" s="72" t="s">
        <v>129</v>
      </c>
    </row>
    <row r="4" spans="1:9" ht="36" customHeight="1">
      <c r="A4" s="72">
        <v>3</v>
      </c>
      <c r="B4" s="191"/>
      <c r="C4" s="111"/>
      <c r="D4" s="78"/>
      <c r="E4" s="78"/>
      <c r="F4" s="78"/>
      <c r="G4" s="202" t="s">
        <v>56</v>
      </c>
      <c r="H4" s="109"/>
      <c r="I4" s="75" t="s">
        <v>56</v>
      </c>
    </row>
    <row r="5" spans="1:9" ht="36" customHeight="1">
      <c r="A5" s="72">
        <v>4</v>
      </c>
      <c r="B5" s="191"/>
      <c r="C5" s="111"/>
      <c r="D5" s="111"/>
      <c r="E5" s="111"/>
      <c r="F5" s="111"/>
      <c r="G5" s="202" t="s">
        <v>56</v>
      </c>
      <c r="H5" s="109"/>
      <c r="I5" s="75" t="s">
        <v>56</v>
      </c>
    </row>
    <row r="6" spans="1:9" ht="36" customHeight="1">
      <c r="A6" s="72">
        <v>5</v>
      </c>
      <c r="B6" s="191"/>
      <c r="C6" s="111"/>
      <c r="D6" s="111"/>
      <c r="E6" s="111"/>
      <c r="F6" s="111"/>
      <c r="G6" s="202" t="s">
        <v>56</v>
      </c>
      <c r="H6" s="109"/>
      <c r="I6" s="75" t="s">
        <v>101</v>
      </c>
    </row>
    <row r="7" spans="1:9" ht="36" customHeight="1">
      <c r="A7" s="72">
        <v>6</v>
      </c>
      <c r="B7" s="191"/>
      <c r="C7" s="111"/>
      <c r="D7" s="111"/>
      <c r="E7" s="111"/>
      <c r="F7" s="111"/>
      <c r="G7" s="202" t="s">
        <v>56</v>
      </c>
      <c r="H7" s="109"/>
      <c r="I7" s="75" t="s">
        <v>101</v>
      </c>
    </row>
    <row r="8" spans="1:9" ht="36" customHeight="1">
      <c r="A8" s="72">
        <v>7</v>
      </c>
      <c r="B8" s="191"/>
      <c r="C8" s="111"/>
      <c r="D8" s="78"/>
      <c r="E8" s="78"/>
      <c r="F8" s="111"/>
      <c r="G8" s="202" t="s">
        <v>56</v>
      </c>
      <c r="H8" s="109"/>
      <c r="I8" s="75" t="s">
        <v>101</v>
      </c>
    </row>
    <row r="9" spans="1:9" ht="36" customHeight="1">
      <c r="A9" s="72">
        <v>8</v>
      </c>
      <c r="B9" s="191"/>
      <c r="C9" s="111"/>
      <c r="D9" s="78"/>
      <c r="E9" s="78"/>
      <c r="F9" s="111"/>
      <c r="G9" s="202" t="s">
        <v>56</v>
      </c>
      <c r="H9" s="109"/>
      <c r="I9" s="75" t="s">
        <v>101</v>
      </c>
    </row>
    <row r="10" spans="1:9" ht="36" customHeight="1">
      <c r="A10" s="72">
        <v>9</v>
      </c>
      <c r="B10" s="191"/>
      <c r="C10" s="111"/>
      <c r="D10" s="78"/>
      <c r="E10" s="78"/>
      <c r="F10" s="111"/>
      <c r="G10" s="202" t="s">
        <v>56</v>
      </c>
      <c r="H10" s="109"/>
      <c r="I10" s="75" t="s">
        <v>101</v>
      </c>
    </row>
    <row r="11" spans="1:9" ht="36" customHeight="1">
      <c r="A11" s="75">
        <v>10</v>
      </c>
      <c r="B11" s="191"/>
      <c r="C11" s="111"/>
      <c r="D11" s="78"/>
      <c r="E11" s="78"/>
      <c r="F11" s="111"/>
      <c r="G11" s="202" t="s">
        <v>56</v>
      </c>
      <c r="H11" s="109"/>
      <c r="I11" s="75" t="s">
        <v>101</v>
      </c>
    </row>
    <row r="12" spans="1:9" ht="36" customHeight="1">
      <c r="A12" s="81"/>
      <c r="B12" s="75" t="s">
        <v>69</v>
      </c>
      <c r="C12" s="112">
        <f>SUM(C2:C11)</f>
        <v>0</v>
      </c>
      <c r="D12" s="112">
        <f>SUM(D2:D11)</f>
        <v>0</v>
      </c>
      <c r="E12" s="112">
        <f>SUM(E2:E11)</f>
        <v>0</v>
      </c>
      <c r="F12" s="112">
        <f>SUM(F2:F11)</f>
        <v>0</v>
      </c>
      <c r="G12" s="113"/>
      <c r="H12" s="114"/>
      <c r="I12" s="76">
        <f t="array" ref="I12">SUM(F2:F11*IF(I2:I11="■",1,0))</f>
        <v>0</v>
      </c>
    </row>
    <row r="13" spans="1:9" ht="27" customHeight="1">
      <c r="C13" s="66"/>
      <c r="D13" s="67"/>
      <c r="E13" s="67"/>
      <c r="F13" s="67"/>
      <c r="G13" s="65"/>
      <c r="H13" s="65"/>
      <c r="I13" s="4"/>
    </row>
  </sheetData>
  <customSheetViews>
    <customSheetView guid="{2ED08BFB-32F2-40DC-9FA0-3D6DF2CD2658}" scale="90" showPageBreaks="1" showGridLines="0" fitToPage="1" printArea="1">
      <pane xSplit="2" ySplit="1" topLeftCell="C2" activePane="bottomRight" state="frozen"/>
      <selection pane="bottomRight" activeCell="F8" sqref="F8"/>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Ｐ明朝,太字"&amp;14⑧　過払金目録</oddHeader>
        <oddFooter>&amp;R&amp;"ＭＳ 明朝,標準"&amp;8ver.3.0</oddFooter>
      </headerFooter>
    </customSheetView>
    <customSheetView guid="{EDE077E3-93A2-422C-951E-2814F2FB5724}" scale="90" showPageBreaks="1" showGridLines="0" fitToPage="1" printArea="1">
      <pane xSplit="2" ySplit="1" topLeftCell="C2" activePane="bottomRight" state="frozen"/>
      <selection pane="bottomRight" activeCell="H16" sqref="H16"/>
      <pageMargins left="0.78740157480314965" right="0.78740157480314965" top="1.5748031496062993" bottom="0.78740157480314965" header="1.1811023622047245" footer="0.51181102362204722"/>
      <pageSetup paperSize="9" scale="93" orientation="landscape" horizontalDpi="4294967293" verticalDpi="4294967293" r:id="rId2"/>
      <headerFooter alignWithMargins="0">
        <oddHeader>&amp;C&amp;"ＭＳ Ｐ明朝,太字"&amp;14⑧　過払金目録</oddHeader>
        <oddFooter>&amp;R&amp;"ＭＳ 明朝,標準"&amp;8ver.3.0</oddFooter>
      </headerFooter>
    </customSheetView>
    <customSheetView guid="{348C0A88-2D6B-48B4-929A-E6B77EACA73D}" scale="90" showPageBreaks="1" showGridLines="0" fitToPage="1" printArea="1">
      <pane xSplit="2" ySplit="1" topLeftCell="C2" activePane="bottomRight" state="frozen"/>
      <selection pane="bottomRight" activeCell="C17" sqref="C17"/>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Ｐ明朝,太字"&amp;14⑧　過払金目録</oddHeader>
        <oddFooter>&amp;R&amp;"ＭＳ 明朝,標準"&amp;8ver.4.0</oddFooter>
      </headerFooter>
    </customSheetView>
    <customSheetView guid="{CB2864B2-4E22-42B2-A294-4D47309CF09D}" scale="90" showPageBreaks="1" showGridLines="0" fitToPage="1" printArea="1">
      <pane xSplit="2" ySplit="1" topLeftCell="C2" activePane="bottomRight" state="frozen"/>
      <selection pane="bottomRight" activeCell="C17" sqref="C17"/>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Ｐ明朝,太字"&amp;14⑧　過払金目録</oddHeader>
        <oddFooter>&amp;R&amp;"ＭＳ 明朝,標準"&amp;8ver.3.0</oddFooter>
      </headerFooter>
    </customSheetView>
  </customSheetViews>
  <phoneticPr fontId="6"/>
  <dataValidations count="2">
    <dataValidation imeMode="on" allowBlank="1" showInputMessage="1" showErrorMessage="1" sqref="B1:B1048576 G1:IV1048576" xr:uid="{00000000-0002-0000-0600-000000000000}"/>
    <dataValidation imeMode="off" allowBlank="1" showInputMessage="1" showErrorMessage="1" sqref="C1:F1048576 A1:A1048576" xr:uid="{00000000-0002-0000-06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Ｐ明朝,太字"&amp;14⑦　過払金目録</oddHeader>
    <oddFooter>&amp;C&amp;P&amp;R&amp;"ＭＳ 明朝,標準"&amp;8ver.4.0</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1:L12"/>
  <sheetViews>
    <sheetView showGridLines="0" zoomScale="80" zoomScaleNormal="80" workbookViewId="0">
      <pane xSplit="3" ySplit="1" topLeftCell="D2" activePane="bottomRight" state="frozen"/>
      <selection pane="topRight" activeCell="D1" sqref="D1"/>
      <selection pane="bottomLeft" activeCell="A2" sqref="A2"/>
      <selection pane="bottomRight" activeCell="B2" sqref="B2"/>
    </sheetView>
  </sheetViews>
  <sheetFormatPr defaultColWidth="27" defaultRowHeight="27" customHeight="1"/>
  <cols>
    <col min="1" max="1" width="4.625" style="2" customWidth="1"/>
    <col min="2" max="2" width="8.5" style="2" customWidth="1"/>
    <col min="3" max="3" width="31" style="2" customWidth="1"/>
    <col min="4" max="4" width="17.125" style="2" customWidth="1"/>
    <col min="5" max="5" width="15.875" style="11" customWidth="1"/>
    <col min="6" max="6" width="13.375" style="11" customWidth="1"/>
    <col min="7" max="7" width="13.5" style="11" customWidth="1"/>
    <col min="8" max="10" width="5" style="6" customWidth="1"/>
    <col min="11" max="11" width="19.25" style="6" customWidth="1"/>
    <col min="12" max="12" width="9.375" style="2" bestFit="1" customWidth="1"/>
    <col min="13" max="16384" width="27" style="6"/>
  </cols>
  <sheetData>
    <row r="1" spans="1:12" s="46" customFormat="1" ht="101.25" customHeight="1" thickBot="1">
      <c r="A1" s="69" t="s">
        <v>54</v>
      </c>
      <c r="B1" s="69" t="s">
        <v>23</v>
      </c>
      <c r="C1" s="69" t="s">
        <v>24</v>
      </c>
      <c r="D1" s="115" t="s">
        <v>103</v>
      </c>
      <c r="E1" s="116" t="s">
        <v>106</v>
      </c>
      <c r="F1" s="71" t="s">
        <v>25</v>
      </c>
      <c r="G1" s="71" t="s">
        <v>40</v>
      </c>
      <c r="H1" s="117" t="s">
        <v>60</v>
      </c>
      <c r="I1" s="117" t="s">
        <v>43</v>
      </c>
      <c r="J1" s="117" t="s">
        <v>84</v>
      </c>
      <c r="K1" s="69" t="s">
        <v>18</v>
      </c>
      <c r="L1" s="70" t="s">
        <v>57</v>
      </c>
    </row>
    <row r="2" spans="1:12" ht="45" customHeight="1" thickTop="1">
      <c r="A2" s="72">
        <v>1</v>
      </c>
      <c r="B2" s="72"/>
      <c r="C2" s="190"/>
      <c r="D2" s="207"/>
      <c r="E2" s="230"/>
      <c r="F2" s="230"/>
      <c r="G2" s="230"/>
      <c r="H2" s="208" t="s">
        <v>64</v>
      </c>
      <c r="I2" s="208" t="s">
        <v>64</v>
      </c>
      <c r="J2" s="208" t="s">
        <v>64</v>
      </c>
      <c r="K2" s="232"/>
      <c r="L2" s="72" t="s">
        <v>56</v>
      </c>
    </row>
    <row r="3" spans="1:12" ht="45" customHeight="1">
      <c r="A3" s="75">
        <v>2</v>
      </c>
      <c r="B3" s="75"/>
      <c r="C3" s="191"/>
      <c r="D3" s="96"/>
      <c r="E3" s="231"/>
      <c r="F3" s="231"/>
      <c r="G3" s="231"/>
      <c r="H3" s="208" t="s">
        <v>119</v>
      </c>
      <c r="I3" s="208" t="s">
        <v>119</v>
      </c>
      <c r="J3" s="208" t="s">
        <v>119</v>
      </c>
      <c r="K3" s="233"/>
      <c r="L3" s="75" t="s">
        <v>56</v>
      </c>
    </row>
    <row r="4" spans="1:12" ht="45" customHeight="1">
      <c r="A4" s="75">
        <v>3</v>
      </c>
      <c r="B4" s="75"/>
      <c r="C4" s="191"/>
      <c r="D4" s="96"/>
      <c r="E4" s="182"/>
      <c r="F4" s="182"/>
      <c r="G4" s="106"/>
      <c r="H4" s="202" t="s">
        <v>56</v>
      </c>
      <c r="I4" s="202" t="s">
        <v>56</v>
      </c>
      <c r="J4" s="202" t="s">
        <v>56</v>
      </c>
      <c r="K4" s="109"/>
      <c r="L4" s="75" t="s">
        <v>56</v>
      </c>
    </row>
    <row r="5" spans="1:12" ht="45" customHeight="1">
      <c r="A5" s="75">
        <v>4</v>
      </c>
      <c r="B5" s="75"/>
      <c r="C5" s="191"/>
      <c r="D5" s="96"/>
      <c r="E5" s="182"/>
      <c r="F5" s="182"/>
      <c r="G5" s="106"/>
      <c r="H5" s="202" t="s">
        <v>56</v>
      </c>
      <c r="I5" s="202" t="s">
        <v>56</v>
      </c>
      <c r="J5" s="202" t="s">
        <v>56</v>
      </c>
      <c r="K5" s="109"/>
      <c r="L5" s="75" t="s">
        <v>56</v>
      </c>
    </row>
    <row r="6" spans="1:12" ht="45" customHeight="1">
      <c r="A6" s="75">
        <v>5</v>
      </c>
      <c r="B6" s="75"/>
      <c r="C6" s="191"/>
      <c r="D6" s="96"/>
      <c r="E6" s="182"/>
      <c r="F6" s="182"/>
      <c r="G6" s="106"/>
      <c r="H6" s="202" t="s">
        <v>56</v>
      </c>
      <c r="I6" s="202" t="s">
        <v>56</v>
      </c>
      <c r="J6" s="202" t="s">
        <v>56</v>
      </c>
      <c r="K6" s="108"/>
      <c r="L6" s="75" t="s">
        <v>56</v>
      </c>
    </row>
    <row r="7" spans="1:12" ht="45" customHeight="1">
      <c r="A7" s="75">
        <v>6</v>
      </c>
      <c r="B7" s="75"/>
      <c r="C7" s="191"/>
      <c r="D7" s="96"/>
      <c r="E7" s="182"/>
      <c r="F7" s="182"/>
      <c r="G7" s="106"/>
      <c r="H7" s="202" t="s">
        <v>56</v>
      </c>
      <c r="I7" s="202" t="s">
        <v>56</v>
      </c>
      <c r="J7" s="202" t="s">
        <v>56</v>
      </c>
      <c r="K7" s="108"/>
      <c r="L7" s="75" t="s">
        <v>56</v>
      </c>
    </row>
    <row r="8" spans="1:12" ht="45" customHeight="1">
      <c r="A8" s="75">
        <v>7</v>
      </c>
      <c r="B8" s="75"/>
      <c r="C8" s="191"/>
      <c r="D8" s="96"/>
      <c r="E8" s="182"/>
      <c r="F8" s="182"/>
      <c r="G8" s="106"/>
      <c r="H8" s="202" t="s">
        <v>56</v>
      </c>
      <c r="I8" s="202" t="s">
        <v>56</v>
      </c>
      <c r="J8" s="202" t="s">
        <v>56</v>
      </c>
      <c r="K8" s="108"/>
      <c r="L8" s="75" t="s">
        <v>56</v>
      </c>
    </row>
    <row r="9" spans="1:12" ht="45" customHeight="1">
      <c r="A9" s="75">
        <v>8</v>
      </c>
      <c r="B9" s="75"/>
      <c r="C9" s="191"/>
      <c r="D9" s="96"/>
      <c r="E9" s="182"/>
      <c r="F9" s="182"/>
      <c r="G9" s="106"/>
      <c r="H9" s="202" t="s">
        <v>56</v>
      </c>
      <c r="I9" s="202" t="s">
        <v>56</v>
      </c>
      <c r="J9" s="202" t="s">
        <v>56</v>
      </c>
      <c r="K9" s="108"/>
      <c r="L9" s="75" t="s">
        <v>56</v>
      </c>
    </row>
    <row r="10" spans="1:12" ht="45" customHeight="1">
      <c r="A10" s="81"/>
      <c r="B10" s="81"/>
      <c r="C10" s="81"/>
      <c r="D10" s="75" t="s">
        <v>69</v>
      </c>
      <c r="E10" s="76">
        <f>SUM(E2:E9)</f>
        <v>0</v>
      </c>
      <c r="F10" s="76">
        <f>SUM(F2:F9)</f>
        <v>0</v>
      </c>
      <c r="G10" s="76">
        <f>SUM(G2:G9)</f>
        <v>0</v>
      </c>
      <c r="H10" s="118"/>
      <c r="I10" s="118"/>
      <c r="J10" s="118"/>
      <c r="K10" s="103"/>
      <c r="L10" s="76">
        <f t="array" ref="L10">SUM(G2:G9*IF(L2:L9="■",1,0))</f>
        <v>0</v>
      </c>
    </row>
    <row r="11" spans="1:12" ht="27" customHeight="1">
      <c r="H11" s="5"/>
      <c r="I11" s="5"/>
      <c r="J11" s="5"/>
    </row>
    <row r="12" spans="1:12" ht="27" customHeight="1">
      <c r="H12" s="5"/>
      <c r="I12" s="5"/>
      <c r="J12" s="5"/>
    </row>
  </sheetData>
  <customSheetViews>
    <customSheetView guid="{2ED08BFB-32F2-40DC-9FA0-3D6DF2CD2658}" scale="80" showPageBreaks="1" showGridLines="0" fitToPage="1">
      <pane xSplit="3" ySplit="1" topLeftCell="D2" activePane="bottomRight" state="frozen"/>
      <selection pane="bottomRight" activeCell="F3" sqref="F3"/>
      <pageMargins left="0.78740157480314965" right="0.78740157480314965" top="1.5748031496062993" bottom="0.78740157480314965" header="1.1811023622047245" footer="0.51181102362204722"/>
      <pageSetup paperSize="9" scale="89" fitToHeight="0" orientation="landscape" horizontalDpi="4294967293" verticalDpi="4294967293" r:id="rId1"/>
      <headerFooter alignWithMargins="0">
        <oddHeader>&amp;C&amp;"ＭＳ Ｐ明朝,太字"&amp;14⑨　不動産目録</oddHeader>
        <oddFooter>&amp;R&amp;"ＭＳ Ｐ明朝,標準"回収見込額については、固定資産評価証明書における評価額ないし査定価格と被担保債権額の差額を記載する。
共同担保物件における被担保債権額の算出に際し、重複して計算しないよう注意する。
ver.3.0</oddFooter>
      </headerFooter>
    </customSheetView>
    <customSheetView guid="{EDE077E3-93A2-422C-951E-2814F2FB5724}" scale="80" showPageBreaks="1" showGridLines="0" fitToPage="1">
      <pane xSplit="3" ySplit="1" topLeftCell="D2" activePane="bottomRight" state="frozen"/>
      <selection pane="bottomRight" activeCell="K2" sqref="K2:K9"/>
      <pageMargins left="0.78740157480314965" right="0.78740157480314965" top="1.5748031496062993" bottom="0.78740157480314965" header="1.1811023622047245" footer="0.51181102362204722"/>
      <pageSetup paperSize="9" scale="77" orientation="landscape" horizontalDpi="4294967293" verticalDpi="4294967293" r:id="rId2"/>
      <headerFooter alignWithMargins="0">
        <oddHeader>&amp;C&amp;"ＭＳ Ｐ明朝,太字"&amp;14⑨　不動産目録</oddHeader>
        <oddFooter>&amp;R&amp;"ＭＳ Ｐ明朝,標準"回収見込額については、固定資産評価証明書における評価額ないし査定価格と被担保債権額の差額を記載する。
共同担保物件における被担保債権額の算出に際し、重複して計算しないよう注意する。
ver.3.0</oddFooter>
      </headerFooter>
    </customSheetView>
    <customSheetView guid="{348C0A88-2D6B-48B4-929A-E6B77EACA73D}" scale="80" showPageBreaks="1" showGridLines="0" fitToPage="1">
      <pane xSplit="3" ySplit="1" topLeftCell="D2" activePane="bottomRight" state="frozen"/>
      <selection pane="bottomRight" activeCell="B2" sqref="B2"/>
      <pageMargins left="0.78740157480314965" right="0.78740157480314965" top="1.5748031496062993" bottom="0.78740157480314965" header="1.1811023622047245" footer="0.51181102362204722"/>
      <pageSetup paperSize="9" scale="89" fitToHeight="0" orientation="landscape" horizontalDpi="4294967293" verticalDpi="4294967293" r:id="rId3"/>
      <headerFooter alignWithMargins="0">
        <oddHeader>&amp;C&amp;"ＭＳ Ｐ明朝,太字"&amp;14⑨　不動産目録</oddHeader>
        <oddFooter>&amp;R&amp;"ＭＳ Ｐ明朝,標準"回収見込額については、固定資産評価証明書における評価額ないし査定価格と被担保債権額の差額を記載する。
共同担保物件における被担保債権額の算出に際し、重複して計算しないよう注意する。
ver.4.0</oddFooter>
      </headerFooter>
    </customSheetView>
    <customSheetView guid="{CB2864B2-4E22-42B2-A294-4D47309CF09D}" scale="80" showPageBreaks="1" showGridLines="0" fitToPage="1">
      <pane xSplit="3" ySplit="1" topLeftCell="D2" activePane="bottomRight" state="frozen"/>
      <selection pane="bottomRight" activeCell="F9" sqref="F9"/>
      <pageMargins left="0.78740157480314965" right="0.78740157480314965" top="1.5748031496062993" bottom="0.78740157480314965" header="1.1811023622047245" footer="0.51181102362204722"/>
      <pageSetup paperSize="9" scale="89" fitToHeight="0" orientation="landscape" horizontalDpi="4294967293" verticalDpi="4294967293" r:id="rId4"/>
      <headerFooter alignWithMargins="0">
        <oddHeader>&amp;C&amp;"ＭＳ Ｐ明朝,太字"&amp;14⑨　不動産目録</oddHeader>
        <oddFooter>&amp;R&amp;"ＭＳ Ｐ明朝,標準"回収見込額については、固定資産評価証明書における評価額ないし査定価格と被担保債権額の差額を記載する。
共同担保物件における被担保債権額の算出に際し、重複して計算しないよう注意する。
ver.3.0</oddFooter>
      </headerFooter>
    </customSheetView>
  </customSheetViews>
  <phoneticPr fontId="6"/>
  <conditionalFormatting sqref="F4:G9">
    <cfRule type="expression" dxfId="16" priority="1" stopIfTrue="1">
      <formula>ISBLANK(D4)</formula>
    </cfRule>
  </conditionalFormatting>
  <dataValidations count="2">
    <dataValidation imeMode="off" allowBlank="1" showInputMessage="1" showErrorMessage="1" sqref="A1:A1048576 M1:IV1048576 E1:E2 F1:G1 E4:G1048576" xr:uid="{00000000-0002-0000-0700-000000000000}"/>
    <dataValidation imeMode="on" allowBlank="1" showInputMessage="1" showErrorMessage="1" sqref="B1:D1048576 K1 H1:J1048576 L1:L1048576 K10:K1048576 K2:K9" xr:uid="{00000000-0002-0000-0700-000001000000}"/>
  </dataValidations>
  <pageMargins left="0.78740157480314965" right="0.78740157480314965" top="1.5748031496062993" bottom="0.78740157480314965" header="1.1811023622047245" footer="0.51181102362204722"/>
  <pageSetup paperSize="9" scale="89" fitToHeight="0" orientation="landscape" horizontalDpi="4294967293" verticalDpi="4294967293" r:id="rId5"/>
  <headerFooter alignWithMargins="0">
    <oddHeader>&amp;C&amp;"ＭＳ Ｐ明朝,太字"&amp;14⑧　不動産目録</oddHeader>
    <oddFooter>&amp;C&amp;P&amp;R&amp;"ＭＳ Ｐ明朝,標準"回収見込額については、固定資産評価証明書における評価額ないし査定価格と被担保債権額の差額を記載する。
共同担保物件における被担保債権額の算出に際し、重複して計算しないよう注意する。
ver.4.0</oddFooter>
  </headerFooter>
  <legacy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K12"/>
  <sheetViews>
    <sheetView showGridLines="0"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8.75" style="2" bestFit="1" customWidth="1"/>
    <col min="3" max="3" width="9" style="28" bestFit="1" customWidth="1"/>
    <col min="4" max="4" width="13.875" style="2" customWidth="1"/>
    <col min="5" max="5" width="5" style="2" customWidth="1"/>
    <col min="6" max="6" width="15.75" style="6" customWidth="1"/>
    <col min="7" max="8" width="15.625" style="11" customWidth="1"/>
    <col min="9" max="9" width="5" style="6" customWidth="1"/>
    <col min="10" max="10" width="16" style="6" customWidth="1"/>
    <col min="11" max="11" width="9.875" style="2" customWidth="1"/>
    <col min="12" max="16384" width="27" style="6"/>
  </cols>
  <sheetData>
    <row r="1" spans="1:11" s="46" customFormat="1" ht="52.5" customHeight="1" thickBot="1">
      <c r="A1" s="69" t="s">
        <v>54</v>
      </c>
      <c r="B1" s="70" t="s">
        <v>123</v>
      </c>
      <c r="C1" s="71" t="s">
        <v>45</v>
      </c>
      <c r="D1" s="69" t="s">
        <v>91</v>
      </c>
      <c r="E1" s="240" t="s">
        <v>109</v>
      </c>
      <c r="F1" s="241"/>
      <c r="G1" s="107" t="s">
        <v>59</v>
      </c>
      <c r="H1" s="107" t="s">
        <v>40</v>
      </c>
      <c r="I1" s="70" t="s">
        <v>83</v>
      </c>
      <c r="J1" s="69" t="s">
        <v>18</v>
      </c>
      <c r="K1" s="70" t="s">
        <v>57</v>
      </c>
    </row>
    <row r="2" spans="1:11" ht="45" customHeight="1" thickTop="1">
      <c r="A2" s="72">
        <v>1</v>
      </c>
      <c r="B2" s="168"/>
      <c r="C2" s="119"/>
      <c r="D2" s="120"/>
      <c r="E2" s="204" t="s">
        <v>64</v>
      </c>
      <c r="F2" s="192"/>
      <c r="G2" s="106"/>
      <c r="H2" s="106"/>
      <c r="I2" s="202" t="s">
        <v>64</v>
      </c>
      <c r="J2" s="168"/>
      <c r="K2" s="72" t="s">
        <v>56</v>
      </c>
    </row>
    <row r="3" spans="1:11" ht="45" customHeight="1">
      <c r="A3" s="75">
        <v>2</v>
      </c>
      <c r="B3" s="108"/>
      <c r="C3" s="110"/>
      <c r="D3" s="121"/>
      <c r="E3" s="204" t="s">
        <v>56</v>
      </c>
      <c r="F3" s="193"/>
      <c r="G3" s="182"/>
      <c r="H3" s="106"/>
      <c r="I3" s="202" t="s">
        <v>56</v>
      </c>
      <c r="J3" s="109"/>
      <c r="K3" s="75" t="s">
        <v>56</v>
      </c>
    </row>
    <row r="4" spans="1:11" ht="45" customHeight="1">
      <c r="A4" s="75">
        <v>3</v>
      </c>
      <c r="B4" s="108"/>
      <c r="C4" s="110"/>
      <c r="D4" s="121"/>
      <c r="E4" s="204" t="s">
        <v>56</v>
      </c>
      <c r="F4" s="194"/>
      <c r="G4" s="182"/>
      <c r="H4" s="106"/>
      <c r="I4" s="202" t="s">
        <v>56</v>
      </c>
      <c r="J4" s="109"/>
      <c r="K4" s="75" t="s">
        <v>56</v>
      </c>
    </row>
    <row r="5" spans="1:11" ht="45" customHeight="1">
      <c r="A5" s="75">
        <v>4</v>
      </c>
      <c r="B5" s="108"/>
      <c r="C5" s="110"/>
      <c r="D5" s="121"/>
      <c r="E5" s="204" t="s">
        <v>56</v>
      </c>
      <c r="F5" s="194"/>
      <c r="G5" s="182"/>
      <c r="H5" s="106"/>
      <c r="I5" s="202" t="s">
        <v>56</v>
      </c>
      <c r="J5" s="109"/>
      <c r="K5" s="75" t="s">
        <v>56</v>
      </c>
    </row>
    <row r="6" spans="1:11" ht="45" customHeight="1">
      <c r="A6" s="75">
        <v>5</v>
      </c>
      <c r="B6" s="108"/>
      <c r="C6" s="110"/>
      <c r="D6" s="75"/>
      <c r="E6" s="204" t="s">
        <v>56</v>
      </c>
      <c r="F6" s="194"/>
      <c r="G6" s="182"/>
      <c r="H6" s="106"/>
      <c r="I6" s="202" t="s">
        <v>56</v>
      </c>
      <c r="J6" s="109"/>
      <c r="K6" s="75" t="s">
        <v>56</v>
      </c>
    </row>
    <row r="7" spans="1:11" ht="45" customHeight="1">
      <c r="A7" s="75">
        <v>6</v>
      </c>
      <c r="B7" s="108"/>
      <c r="C7" s="110"/>
      <c r="D7" s="75"/>
      <c r="E7" s="204" t="s">
        <v>56</v>
      </c>
      <c r="F7" s="194"/>
      <c r="G7" s="182"/>
      <c r="H7" s="106"/>
      <c r="I7" s="202" t="s">
        <v>56</v>
      </c>
      <c r="J7" s="109"/>
      <c r="K7" s="75" t="s">
        <v>56</v>
      </c>
    </row>
    <row r="8" spans="1:11" ht="45" customHeight="1">
      <c r="A8" s="75">
        <v>7</v>
      </c>
      <c r="B8" s="108"/>
      <c r="C8" s="110"/>
      <c r="D8" s="75"/>
      <c r="E8" s="204" t="s">
        <v>56</v>
      </c>
      <c r="F8" s="194"/>
      <c r="G8" s="182"/>
      <c r="H8" s="106"/>
      <c r="I8" s="202" t="s">
        <v>56</v>
      </c>
      <c r="J8" s="109"/>
      <c r="K8" s="75" t="s">
        <v>56</v>
      </c>
    </row>
    <row r="9" spans="1:11" ht="45" customHeight="1">
      <c r="A9" s="75">
        <v>8</v>
      </c>
      <c r="B9" s="108"/>
      <c r="C9" s="110"/>
      <c r="D9" s="79"/>
      <c r="E9" s="204" t="s">
        <v>56</v>
      </c>
      <c r="F9" s="194"/>
      <c r="G9" s="182"/>
      <c r="H9" s="106"/>
      <c r="I9" s="202" t="s">
        <v>56</v>
      </c>
      <c r="J9" s="108"/>
      <c r="K9" s="75" t="s">
        <v>56</v>
      </c>
    </row>
    <row r="10" spans="1:11" ht="36" customHeight="1">
      <c r="A10" s="81"/>
      <c r="B10" s="81"/>
      <c r="C10" s="122"/>
      <c r="D10" s="81"/>
      <c r="E10" s="242" t="s">
        <v>69</v>
      </c>
      <c r="F10" s="243"/>
      <c r="G10" s="76">
        <f>SUM(G2:G9)</f>
        <v>0</v>
      </c>
      <c r="H10" s="76">
        <f>SUM(H2:H9)</f>
        <v>0</v>
      </c>
      <c r="I10" s="118"/>
      <c r="J10" s="103"/>
      <c r="K10" s="76">
        <f t="array" ref="K10">SUM(H2:H9*IF(K2:K9="■",1,0))</f>
        <v>0</v>
      </c>
    </row>
    <row r="11" spans="1:11" ht="27" customHeight="1">
      <c r="F11" s="5"/>
      <c r="I11" s="5"/>
    </row>
    <row r="12" spans="1:11" ht="27" customHeight="1">
      <c r="F12" s="5"/>
      <c r="I12" s="5"/>
    </row>
  </sheetData>
  <customSheetViews>
    <customSheetView guid="{2ED08BFB-32F2-40DC-9FA0-3D6DF2CD2658}" scale="75" showPageBreaks="1" showGridLines="0" fitToPage="1">
      <pane xSplit="2" ySplit="1" topLeftCell="C2" activePane="bottomRight" state="frozen"/>
      <selection pane="bottomRight" activeCell="H16" sqref="H16"/>
      <pageMargins left="0.78740157480314965" right="0.78740157480314965" top="1.5748031496062993" bottom="0.78740157480314965" header="1.1811023622047245" footer="0.51181102362204722"/>
      <pageSetup paperSize="9" scale="94" fitToHeight="0" orientation="landscape" horizontalDpi="4294967293" verticalDpi="4294967293" r:id="rId1"/>
      <headerFooter alignWithMargins="0">
        <oddHeader>&amp;C&amp;"ＭＳ Ｐ明朝,太字"&amp;14⑩　有価証券目録</oddHeader>
        <oddFooter>&amp;R&amp;"ＭＳ Ｐ明朝,標準"ver.3.0</oddFooter>
      </headerFooter>
    </customSheetView>
    <customSheetView guid="{EDE077E3-93A2-422C-951E-2814F2FB5724}" scale="75" showPageBreaks="1" showGridLines="0" fitToPage="1">
      <pane xSplit="2" ySplit="1" topLeftCell="C2" activePane="bottomRight" state="frozen"/>
      <selection pane="bottomRight" activeCell="J2" sqref="J2:J9"/>
      <pageMargins left="0.78740157480314965" right="0.78740157480314965" top="1.5748031496062993" bottom="0.78740157480314965" header="1.1811023622047245" footer="0.51181102362204722"/>
      <pageSetup paperSize="9" scale="89" orientation="landscape" horizontalDpi="4294967293" verticalDpi="4294967293" r:id="rId2"/>
      <headerFooter alignWithMargins="0">
        <oddHeader>&amp;C&amp;"ＭＳ Ｐ明朝,太字"&amp;14⑩　有価証券目録</oddHeader>
        <oddFooter>&amp;R&amp;"ＭＳ Ｐ明朝,標準"ver.3.0</oddFooter>
      </headerFooter>
    </customSheetView>
    <customSheetView guid="{348C0A88-2D6B-48B4-929A-E6B77EACA73D}" scale="75" showPageBreaks="1" showGridLines="0" fitToPage="1">
      <pane xSplit="2" ySplit="1" topLeftCell="C2" activePane="bottomRight" state="frozen"/>
      <selection pane="bottomRight" activeCell="H16" sqref="H16"/>
      <pageMargins left="0.78740157480314965" right="0.78740157480314965" top="1.5748031496062993" bottom="0.78740157480314965" header="1.1811023622047245" footer="0.51181102362204722"/>
      <pageSetup paperSize="9" scale="94" fitToHeight="0" orientation="landscape" horizontalDpi="4294967293" verticalDpi="4294967293" r:id="rId3"/>
      <headerFooter alignWithMargins="0">
        <oddHeader>&amp;C&amp;"ＭＳ Ｐ明朝,太字"&amp;14⑩　有価証券目録</oddHeader>
        <oddFooter>&amp;R&amp;"ＭＳ Ｐ明朝,標準"ver.4.0</oddFooter>
      </headerFooter>
    </customSheetView>
    <customSheetView guid="{CB2864B2-4E22-42B2-A294-4D47309CF09D}" scale="75" showPageBreaks="1" showGridLines="0" fitToPage="1">
      <pane xSplit="2" ySplit="1" topLeftCell="C2" activePane="bottomRight" state="frozen"/>
      <selection pane="bottomRight" activeCell="L2" sqref="L2"/>
      <pageMargins left="0.78740157480314965" right="0.78740157480314965" top="1.5748031496062993" bottom="0.78740157480314965" header="1.1811023622047245" footer="0.51181102362204722"/>
      <pageSetup paperSize="9" scale="94" fitToHeight="0" orientation="landscape" horizontalDpi="4294967293" verticalDpi="4294967293" r:id="rId4"/>
      <headerFooter alignWithMargins="0">
        <oddHeader>&amp;C&amp;"ＭＳ Ｐ明朝,太字"&amp;14⑩　有価証券目録</oddHeader>
        <oddFooter>&amp;R&amp;"ＭＳ Ｐ明朝,標準"ver.3.0</oddFooter>
      </headerFooter>
    </customSheetView>
  </customSheetViews>
  <mergeCells count="2">
    <mergeCell ref="E1:F1"/>
    <mergeCell ref="E10:F10"/>
  </mergeCells>
  <phoneticPr fontId="6"/>
  <conditionalFormatting sqref="H2:H9">
    <cfRule type="expression" dxfId="15" priority="1" stopIfTrue="1">
      <formula>ISBLANK(G2)</formula>
    </cfRule>
  </conditionalFormatting>
  <dataValidations count="2">
    <dataValidation imeMode="off" allowBlank="1" showInputMessage="1" showErrorMessage="1" sqref="E10 D11:E65536 C10:C65536 A1:A1048576 C1:D9 L1:IV1048576 G1:H1048576" xr:uid="{00000000-0002-0000-0800-000000000000}"/>
    <dataValidation imeMode="on" allowBlank="1" showInputMessage="1" showErrorMessage="1" sqref="F11:F65536 B1:B1048576 E2:F9 E1 I1:K1048576" xr:uid="{00000000-0002-0000-0800-000001000000}"/>
  </dataValidations>
  <pageMargins left="0.78740157480314965" right="0.78740157480314965" top="1.5748031496062993" bottom="0.78740157480314965" header="1.1811023622047245" footer="0.51181102362204722"/>
  <pageSetup paperSize="9" scale="94" fitToHeight="0" orientation="landscape" horizontalDpi="4294967293" verticalDpi="4294967293" r:id="rId5"/>
  <headerFooter alignWithMargins="0">
    <oddHeader>&amp;C&amp;"ＭＳ Ｐ明朝,太字"&amp;14⑨　有価証券目録</oddHeader>
    <oddFooter>&amp;C&amp;P&amp;R&amp;"ＭＳ Ｐ明朝,標準"ver.4.0</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fitToPage="1"/>
  </sheetPr>
  <dimension ref="A1:L31"/>
  <sheetViews>
    <sheetView showGridLines="0" zoomScale="6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RowHeight="27" customHeight="1"/>
  <cols>
    <col min="1" max="1" width="4.625" style="13" bestFit="1" customWidth="1"/>
    <col min="2" max="2" width="14.125" style="12" customWidth="1"/>
    <col min="3" max="3" width="10.125" style="15" customWidth="1"/>
    <col min="4" max="4" width="19.625" style="14" customWidth="1"/>
    <col min="5" max="5" width="14.375" style="13" bestFit="1" customWidth="1"/>
    <col min="6" max="6" width="16.625" style="13" customWidth="1"/>
    <col min="7" max="7" width="8" style="18" customWidth="1"/>
    <col min="8" max="8" width="10.125" style="19" bestFit="1" customWidth="1"/>
    <col min="9" max="9" width="14.5" style="16" customWidth="1"/>
    <col min="10" max="10" width="16.625" style="17" bestFit="1" customWidth="1"/>
    <col min="11" max="11" width="18" style="12" bestFit="1" customWidth="1"/>
    <col min="12" max="12" width="9.875" style="2" customWidth="1"/>
    <col min="13" max="16384" width="9" style="30"/>
  </cols>
  <sheetData>
    <row r="1" spans="1:12" s="47" customFormat="1" ht="52.5" customHeight="1" thickBot="1">
      <c r="A1" s="123" t="s">
        <v>99</v>
      </c>
      <c r="B1" s="124" t="s">
        <v>81</v>
      </c>
      <c r="C1" s="125" t="s">
        <v>0</v>
      </c>
      <c r="D1" s="124" t="s">
        <v>1</v>
      </c>
      <c r="E1" s="123" t="s">
        <v>104</v>
      </c>
      <c r="F1" s="123" t="s">
        <v>2</v>
      </c>
      <c r="G1" s="126" t="s">
        <v>3</v>
      </c>
      <c r="H1" s="127" t="s">
        <v>41</v>
      </c>
      <c r="I1" s="128" t="s">
        <v>80</v>
      </c>
      <c r="J1" s="128" t="s">
        <v>42</v>
      </c>
      <c r="K1" s="124" t="s">
        <v>92</v>
      </c>
      <c r="L1" s="70" t="s">
        <v>57</v>
      </c>
    </row>
    <row r="2" spans="1:12" s="29" customFormat="1" ht="45.75" customHeight="1" thickTop="1">
      <c r="A2" s="129">
        <v>1</v>
      </c>
      <c r="B2" s="213"/>
      <c r="C2" s="214"/>
      <c r="D2" s="215"/>
      <c r="E2" s="216"/>
      <c r="F2" s="216"/>
      <c r="G2" s="217"/>
      <c r="H2" s="218"/>
      <c r="I2" s="219"/>
      <c r="J2" s="220"/>
      <c r="K2" s="130"/>
      <c r="L2" s="72" t="s">
        <v>56</v>
      </c>
    </row>
    <row r="3" spans="1:12" s="29" customFormat="1" ht="45.75" customHeight="1">
      <c r="A3" s="134">
        <v>2</v>
      </c>
      <c r="B3" s="195"/>
      <c r="C3" s="135"/>
      <c r="D3" s="136"/>
      <c r="E3" s="137"/>
      <c r="F3" s="137"/>
      <c r="G3" s="209"/>
      <c r="H3" s="131"/>
      <c r="I3" s="138"/>
      <c r="J3" s="133"/>
      <c r="K3" s="136"/>
      <c r="L3" s="75" t="s">
        <v>56</v>
      </c>
    </row>
    <row r="4" spans="1:12" s="29" customFormat="1" ht="45.75" customHeight="1">
      <c r="A4" s="134">
        <v>3</v>
      </c>
      <c r="B4" s="136"/>
      <c r="C4" s="135"/>
      <c r="D4" s="136"/>
      <c r="E4" s="137"/>
      <c r="F4" s="137"/>
      <c r="G4" s="210"/>
      <c r="H4" s="139"/>
      <c r="I4" s="138"/>
      <c r="J4" s="133"/>
      <c r="K4" s="136"/>
      <c r="L4" s="75" t="s">
        <v>56</v>
      </c>
    </row>
    <row r="5" spans="1:12" s="29" customFormat="1" ht="45.75" customHeight="1">
      <c r="A5" s="134">
        <v>4</v>
      </c>
      <c r="B5" s="136"/>
      <c r="C5" s="135"/>
      <c r="D5" s="136"/>
      <c r="E5" s="137"/>
      <c r="F5" s="137"/>
      <c r="G5" s="210"/>
      <c r="H5" s="139"/>
      <c r="I5" s="138"/>
      <c r="J5" s="133"/>
      <c r="K5" s="136"/>
      <c r="L5" s="75" t="s">
        <v>56</v>
      </c>
    </row>
    <row r="6" spans="1:12" s="29" customFormat="1" ht="45.75" customHeight="1">
      <c r="A6" s="134">
        <v>5</v>
      </c>
      <c r="B6" s="136"/>
      <c r="C6" s="135"/>
      <c r="D6" s="136"/>
      <c r="E6" s="137"/>
      <c r="F6" s="137"/>
      <c r="G6" s="210"/>
      <c r="H6" s="139"/>
      <c r="I6" s="138"/>
      <c r="J6" s="133"/>
      <c r="K6" s="136"/>
      <c r="L6" s="75" t="s">
        <v>56</v>
      </c>
    </row>
    <row r="7" spans="1:12" s="29" customFormat="1" ht="45.75" customHeight="1">
      <c r="A7" s="134">
        <v>6</v>
      </c>
      <c r="B7" s="136"/>
      <c r="C7" s="135"/>
      <c r="D7" s="136"/>
      <c r="E7" s="137"/>
      <c r="F7" s="137"/>
      <c r="G7" s="210"/>
      <c r="H7" s="139"/>
      <c r="I7" s="138"/>
      <c r="J7" s="133"/>
      <c r="K7" s="136"/>
      <c r="L7" s="75" t="s">
        <v>56</v>
      </c>
    </row>
    <row r="8" spans="1:12" s="29" customFormat="1" ht="45.75" customHeight="1">
      <c r="A8" s="134">
        <v>7</v>
      </c>
      <c r="B8" s="136"/>
      <c r="C8" s="135"/>
      <c r="D8" s="136"/>
      <c r="E8" s="137"/>
      <c r="F8" s="137"/>
      <c r="G8" s="210"/>
      <c r="H8" s="139"/>
      <c r="I8" s="138"/>
      <c r="J8" s="133"/>
      <c r="K8" s="136"/>
      <c r="L8" s="75" t="s">
        <v>56</v>
      </c>
    </row>
    <row r="9" spans="1:12" s="29" customFormat="1" ht="45.75" customHeight="1">
      <c r="A9" s="134">
        <v>8</v>
      </c>
      <c r="B9" s="136"/>
      <c r="C9" s="135"/>
      <c r="D9" s="136"/>
      <c r="E9" s="137"/>
      <c r="F9" s="137"/>
      <c r="G9" s="210"/>
      <c r="H9" s="139"/>
      <c r="I9" s="138"/>
      <c r="J9" s="133"/>
      <c r="K9" s="136"/>
      <c r="L9" s="75" t="s">
        <v>56</v>
      </c>
    </row>
    <row r="10" spans="1:12" s="29" customFormat="1" ht="45.75" customHeight="1">
      <c r="A10" s="140"/>
      <c r="B10" s="141"/>
      <c r="C10" s="142"/>
      <c r="D10" s="143"/>
      <c r="E10" s="140"/>
      <c r="F10" s="140"/>
      <c r="G10" s="144"/>
      <c r="H10" s="139" t="s">
        <v>70</v>
      </c>
      <c r="I10" s="133">
        <f>SUM(I2:I9)</f>
        <v>0</v>
      </c>
      <c r="J10" s="133">
        <f>SUM(J2:J9)</f>
        <v>0</v>
      </c>
      <c r="K10" s="141"/>
      <c r="L10" s="76">
        <f t="array" ref="L10">SUM(J2:J9*IF(L2:L9="■",1,0))</f>
        <v>0</v>
      </c>
    </row>
    <row r="11" spans="1:12" s="29" customFormat="1" ht="27" customHeight="1">
      <c r="A11" s="13"/>
      <c r="B11" s="12"/>
      <c r="C11" s="15"/>
      <c r="D11" s="14"/>
      <c r="E11" s="13"/>
      <c r="F11" s="13"/>
      <c r="G11" s="18"/>
      <c r="H11" s="19"/>
      <c r="I11" s="16"/>
      <c r="J11" s="17"/>
      <c r="K11" s="12"/>
      <c r="L11" s="2"/>
    </row>
    <row r="12" spans="1:12" s="29" customFormat="1" ht="27" customHeight="1">
      <c r="A12" s="13"/>
      <c r="B12" s="12"/>
      <c r="C12" s="15"/>
      <c r="D12" s="14"/>
      <c r="E12" s="13"/>
      <c r="F12" s="13"/>
      <c r="G12" s="18"/>
      <c r="H12" s="19"/>
      <c r="I12" s="16"/>
      <c r="J12" s="17"/>
      <c r="K12" s="12"/>
      <c r="L12" s="2"/>
    </row>
    <row r="13" spans="1:12" s="29" customFormat="1" ht="27" customHeight="1">
      <c r="A13" s="13"/>
      <c r="B13" s="12"/>
      <c r="C13" s="15"/>
      <c r="D13" s="14"/>
      <c r="E13" s="13"/>
      <c r="F13" s="13"/>
      <c r="G13" s="18"/>
      <c r="H13" s="19"/>
      <c r="I13" s="16"/>
      <c r="J13" s="17"/>
      <c r="K13" s="12"/>
      <c r="L13" s="2"/>
    </row>
    <row r="14" spans="1:12" s="29" customFormat="1" ht="27" customHeight="1">
      <c r="A14" s="13"/>
      <c r="B14" s="12"/>
      <c r="C14" s="15"/>
      <c r="D14" s="14"/>
      <c r="E14" s="13"/>
      <c r="F14" s="13"/>
      <c r="G14" s="18"/>
      <c r="H14" s="19"/>
      <c r="I14" s="16"/>
      <c r="J14" s="17"/>
      <c r="K14" s="12"/>
      <c r="L14" s="2"/>
    </row>
    <row r="15" spans="1:12" s="29" customFormat="1" ht="27" customHeight="1">
      <c r="A15" s="13"/>
      <c r="B15" s="12"/>
      <c r="C15" s="15"/>
      <c r="D15" s="14"/>
      <c r="E15" s="13"/>
      <c r="F15" s="13"/>
      <c r="G15" s="18"/>
      <c r="H15" s="19"/>
      <c r="I15" s="16"/>
      <c r="J15" s="17"/>
      <c r="K15" s="12"/>
      <c r="L15" s="2"/>
    </row>
    <row r="16" spans="1:12" s="29" customFormat="1" ht="27" customHeight="1">
      <c r="A16" s="13"/>
      <c r="B16" s="12"/>
      <c r="C16" s="15"/>
      <c r="D16" s="14"/>
      <c r="E16" s="13"/>
      <c r="F16" s="13"/>
      <c r="G16" s="18"/>
      <c r="H16" s="19"/>
      <c r="I16" s="16"/>
      <c r="J16" s="17"/>
      <c r="K16" s="12"/>
      <c r="L16" s="2"/>
    </row>
    <row r="17" spans="1:12" s="29" customFormat="1" ht="27" customHeight="1">
      <c r="A17" s="13"/>
      <c r="B17" s="12"/>
      <c r="C17" s="15"/>
      <c r="D17" s="14"/>
      <c r="E17" s="13"/>
      <c r="F17" s="13"/>
      <c r="G17" s="18"/>
      <c r="H17" s="19"/>
      <c r="I17" s="16"/>
      <c r="J17" s="17"/>
      <c r="K17" s="12"/>
      <c r="L17" s="2"/>
    </row>
    <row r="18" spans="1:12" s="29" customFormat="1" ht="27" customHeight="1">
      <c r="A18" s="13"/>
      <c r="B18" s="12"/>
      <c r="C18" s="15"/>
      <c r="D18" s="14"/>
      <c r="E18" s="13"/>
      <c r="F18" s="13"/>
      <c r="G18" s="18"/>
      <c r="H18" s="19"/>
      <c r="I18" s="16"/>
      <c r="J18" s="17"/>
      <c r="K18" s="12"/>
      <c r="L18" s="2"/>
    </row>
    <row r="19" spans="1:12" s="29" customFormat="1" ht="27" customHeight="1">
      <c r="A19" s="13"/>
      <c r="B19" s="12"/>
      <c r="C19" s="15"/>
      <c r="D19" s="14"/>
      <c r="E19" s="13"/>
      <c r="F19" s="13"/>
      <c r="G19" s="18"/>
      <c r="H19" s="19"/>
      <c r="I19" s="16"/>
      <c r="J19" s="17"/>
      <c r="K19" s="12"/>
      <c r="L19" s="2"/>
    </row>
    <row r="20" spans="1:12" s="29" customFormat="1" ht="27" customHeight="1">
      <c r="A20" s="13"/>
      <c r="B20" s="12"/>
      <c r="C20" s="15"/>
      <c r="D20" s="14"/>
      <c r="E20" s="13"/>
      <c r="F20" s="13"/>
      <c r="G20" s="18"/>
      <c r="H20" s="19"/>
      <c r="I20" s="16"/>
      <c r="J20" s="17"/>
      <c r="K20" s="12"/>
      <c r="L20" s="2"/>
    </row>
    <row r="21" spans="1:12" s="29" customFormat="1" ht="27" customHeight="1">
      <c r="A21" s="13"/>
      <c r="B21" s="12"/>
      <c r="C21" s="15"/>
      <c r="D21" s="14"/>
      <c r="E21" s="13"/>
      <c r="F21" s="13"/>
      <c r="G21" s="18"/>
      <c r="H21" s="19"/>
      <c r="I21" s="16"/>
      <c r="J21" s="17"/>
      <c r="K21" s="12"/>
      <c r="L21" s="2"/>
    </row>
    <row r="22" spans="1:12" s="29" customFormat="1" ht="27" customHeight="1">
      <c r="A22" s="13"/>
      <c r="B22" s="12"/>
      <c r="C22" s="15"/>
      <c r="D22" s="14"/>
      <c r="E22" s="13"/>
      <c r="F22" s="13"/>
      <c r="G22" s="18"/>
      <c r="H22" s="19"/>
      <c r="I22" s="16"/>
      <c r="J22" s="17"/>
      <c r="K22" s="12"/>
      <c r="L22" s="2"/>
    </row>
    <row r="23" spans="1:12" s="29" customFormat="1" ht="27" customHeight="1">
      <c r="A23" s="13"/>
      <c r="B23" s="12"/>
      <c r="C23" s="15"/>
      <c r="D23" s="14"/>
      <c r="E23" s="13"/>
      <c r="F23" s="13"/>
      <c r="G23" s="18"/>
      <c r="H23" s="19"/>
      <c r="I23" s="16"/>
      <c r="J23" s="17"/>
      <c r="K23" s="12"/>
      <c r="L23" s="2"/>
    </row>
    <row r="24" spans="1:12" s="29" customFormat="1" ht="27" customHeight="1">
      <c r="A24" s="13"/>
      <c r="B24" s="12"/>
      <c r="C24" s="15"/>
      <c r="D24" s="14"/>
      <c r="E24" s="13"/>
      <c r="F24" s="13"/>
      <c r="G24" s="18"/>
      <c r="H24" s="19"/>
      <c r="I24" s="16"/>
      <c r="J24" s="17"/>
      <c r="K24" s="12"/>
      <c r="L24" s="2"/>
    </row>
    <row r="25" spans="1:12" s="29" customFormat="1" ht="27" customHeight="1">
      <c r="A25" s="13"/>
      <c r="B25" s="12"/>
      <c r="C25" s="15"/>
      <c r="D25" s="14"/>
      <c r="E25" s="13"/>
      <c r="F25" s="13"/>
      <c r="G25" s="18"/>
      <c r="H25" s="19"/>
      <c r="I25" s="16"/>
      <c r="J25" s="17"/>
      <c r="K25" s="12"/>
      <c r="L25" s="2"/>
    </row>
    <row r="26" spans="1:12" s="29" customFormat="1" ht="27" customHeight="1">
      <c r="A26" s="13"/>
      <c r="B26" s="12"/>
      <c r="C26" s="15"/>
      <c r="D26" s="14"/>
      <c r="E26" s="13"/>
      <c r="F26" s="13"/>
      <c r="G26" s="18"/>
      <c r="H26" s="19"/>
      <c r="I26" s="16"/>
      <c r="J26" s="17"/>
      <c r="K26" s="12"/>
      <c r="L26" s="2"/>
    </row>
    <row r="27" spans="1:12" s="29" customFormat="1" ht="27" customHeight="1">
      <c r="A27" s="13"/>
      <c r="B27" s="12"/>
      <c r="C27" s="15"/>
      <c r="D27" s="14"/>
      <c r="E27" s="13"/>
      <c r="F27" s="13"/>
      <c r="G27" s="18"/>
      <c r="H27" s="19"/>
      <c r="I27" s="16"/>
      <c r="J27" s="17"/>
      <c r="K27" s="12"/>
      <c r="L27" s="2"/>
    </row>
    <row r="28" spans="1:12" s="29" customFormat="1" ht="27" customHeight="1">
      <c r="A28" s="13"/>
      <c r="B28" s="12"/>
      <c r="C28" s="15"/>
      <c r="D28" s="14"/>
      <c r="E28" s="13"/>
      <c r="F28" s="13"/>
      <c r="G28" s="18"/>
      <c r="H28" s="19"/>
      <c r="I28" s="16"/>
      <c r="J28" s="17"/>
      <c r="K28" s="12"/>
      <c r="L28" s="2"/>
    </row>
    <row r="31" spans="1:12" s="12" customFormat="1" ht="27" customHeight="1">
      <c r="A31" s="13"/>
      <c r="C31" s="15"/>
      <c r="D31" s="14"/>
      <c r="E31" s="13"/>
      <c r="F31" s="13"/>
      <c r="G31" s="18"/>
      <c r="H31" s="19"/>
      <c r="I31" s="16"/>
      <c r="J31" s="17"/>
      <c r="L31" s="2"/>
    </row>
  </sheetData>
  <customSheetViews>
    <customSheetView guid="{2ED08BFB-32F2-40DC-9FA0-3D6DF2CD2658}" scale="65" showPageBreaks="1" showGridLines="0" fitToPage="1">
      <pane xSplit="2" ySplit="1" topLeftCell="C2" activePane="bottomRight" state="frozen"/>
      <selection pane="bottomRight" activeCell="J6" sqref="J6"/>
      <pageMargins left="0.78740157480314965" right="0.78740157480314965" top="1.5748031496062993" bottom="0.78740157480314965" header="1.1811023622047245" footer="0.51181102362204722"/>
      <pageSetup paperSize="9" scale="84" fitToHeight="0" orientation="landscape" horizontalDpi="4294967292" verticalDpi="4294967292" r:id="rId1"/>
      <headerFooter alignWithMargins="0">
        <oddHeader>&amp;C&amp;"ＭＳ Ｐ明朝,太字"&amp;14⑪　受取手形・小切手目録</oddHeader>
        <oddFooter>&amp;R&amp;"ＭＳ Ｐ明朝,標準"&amp;9割引手形は記載しない。
ver.3.0</oddFooter>
      </headerFooter>
    </customSheetView>
    <customSheetView guid="{EDE077E3-93A2-422C-951E-2814F2FB5724}" scale="65" showPageBreaks="1" showGridLines="0" fitToPage="1">
      <pane xSplit="2" ySplit="1" topLeftCell="C2" activePane="bottomRight" state="frozen"/>
      <selection pane="bottomRight" activeCell="K2" sqref="K2:K9"/>
      <pageMargins left="0.78740157480314965" right="0.78740157480314965" top="1.5748031496062993" bottom="0.78740157480314965" header="1.1811023622047245" footer="0.51181102362204722"/>
      <pageSetup paperSize="9" scale="84" orientation="landscape" horizontalDpi="4294967292" verticalDpi="4294967292" r:id="rId2"/>
      <headerFooter alignWithMargins="0">
        <oddHeader>&amp;C&amp;"ＭＳ Ｐ明朝,太字"&amp;14⑪　受取手形・小切手目録</oddHeader>
        <oddFooter>&amp;R&amp;"ＭＳ Ｐ明朝,標準"&amp;9割引手形は記載しない。
ver.3.0</oddFooter>
      </headerFooter>
    </customSheetView>
    <customSheetView guid="{348C0A88-2D6B-48B4-929A-E6B77EACA73D}" scale="65" showPageBreaks="1" showGridLines="0" fitToPage="1">
      <pane xSplit="2" ySplit="1" topLeftCell="C2" activePane="bottomRight" state="frozen"/>
      <selection pane="bottomRight" activeCell="J6" sqref="J6"/>
      <pageMargins left="0.78740157480314965" right="0.78740157480314965" top="1.5748031496062993" bottom="0.78740157480314965" header="1.1811023622047245" footer="0.51181102362204722"/>
      <pageSetup paperSize="9" scale="84" fitToHeight="0" orientation="landscape" horizontalDpi="4294967292" verticalDpi="4294967292" r:id="rId3"/>
      <headerFooter alignWithMargins="0">
        <oddHeader>&amp;C&amp;"ＭＳ Ｐ明朝,太字"&amp;14⑪　受取手形・小切手目録</oddHeader>
        <oddFooter>&amp;R&amp;"ＭＳ Ｐ明朝,標準"&amp;9割引手形は記載しない。
ver.4.0</oddFooter>
      </headerFooter>
    </customSheetView>
    <customSheetView guid="{CB2864B2-4E22-42B2-A294-4D47309CF09D}" scale="65" showPageBreaks="1" showGridLines="0" fitToPage="1">
      <pane xSplit="2" ySplit="1" topLeftCell="C2" activePane="bottomRight" state="frozen"/>
      <selection pane="bottomRight" activeCell="J6" sqref="J6"/>
      <pageMargins left="0.78740157480314965" right="0.78740157480314965" top="1.5748031496062993" bottom="0.78740157480314965" header="1.1811023622047245" footer="0.51181102362204722"/>
      <pageSetup paperSize="9" scale="84" fitToHeight="0" orientation="landscape" horizontalDpi="4294967292" verticalDpi="4294967292" r:id="rId4"/>
      <headerFooter alignWithMargins="0">
        <oddHeader>&amp;C&amp;"ＭＳ Ｐ明朝,太字"&amp;14⑪　受取手形・小切手目録</oddHeader>
        <oddFooter>&amp;R&amp;"ＭＳ Ｐ明朝,標準"&amp;9割引手形は記載しない。
ver.3.0</oddFooter>
      </headerFooter>
    </customSheetView>
  </customSheetViews>
  <phoneticPr fontId="2"/>
  <conditionalFormatting sqref="I3:J9">
    <cfRule type="expression" dxfId="14" priority="2" stopIfTrue="1">
      <formula>ISBLANK(H3)</formula>
    </cfRule>
  </conditionalFormatting>
  <conditionalFormatting sqref="J2">
    <cfRule type="expression" dxfId="13" priority="1" stopIfTrue="1">
      <formula>ISBLANK($I2)</formula>
    </cfRule>
  </conditionalFormatting>
  <dataValidations count="2">
    <dataValidation imeMode="off" allowBlank="1" showInputMessage="1" showErrorMessage="1" sqref="M1:IV1048576 A1:A1048576 C1:C1048576 E1:F1048576 H1:J1048576" xr:uid="{00000000-0002-0000-0900-000000000000}"/>
    <dataValidation imeMode="on" allowBlank="1" showInputMessage="1" showErrorMessage="1" sqref="B1:B1048576 G1:G1048576 D1:D1048576 K1:L1048576" xr:uid="{00000000-0002-0000-0900-000001000000}"/>
  </dataValidations>
  <pageMargins left="0.78740157480314965" right="0.78740157480314965" top="1.5748031496062993" bottom="0.78740157480314965" header="1.1811023622047245" footer="0.51181102362204722"/>
  <pageSetup paperSize="9" scale="84" fitToHeight="0" orientation="landscape" horizontalDpi="4294967292" verticalDpi="4294967292" r:id="rId5"/>
  <headerFooter alignWithMargins="0">
    <oddHeader>&amp;C&amp;"ＭＳ Ｐ明朝,太字"&amp;14⑩　受取手形・小切手目録</oddHeader>
    <oddFooter>&amp;C&amp;P&amp;R&amp;"ＭＳ Ｐ明朝,標準"&amp;9割引手形は記載しない。
ver.4.0</oddFooter>
  </headerFooter>
  <legacyDrawing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J33"/>
  <sheetViews>
    <sheetView showGridLines="0" zoomScale="65" zoomScaleNormal="65" workbookViewId="0">
      <pane xSplit="2" ySplit="1" topLeftCell="C2" activePane="bottomRight" state="frozen"/>
      <selection pane="topRight" activeCell="C1" sqref="C1"/>
      <selection pane="bottomLeft" activeCell="A2" sqref="A2"/>
      <selection pane="bottomRight" activeCell="B2" sqref="B2"/>
    </sheetView>
  </sheetViews>
  <sheetFormatPr defaultRowHeight="27" customHeight="1"/>
  <cols>
    <col min="1" max="1" width="5.25" style="154" customWidth="1"/>
    <col min="2" max="2" width="20.25" style="153" customWidth="1"/>
    <col min="3" max="3" width="10" style="152" customWidth="1"/>
    <col min="4" max="4" width="26.125" style="153" customWidth="1"/>
    <col min="5" max="5" width="13.375" style="154" customWidth="1"/>
    <col min="6" max="7" width="15.875" style="155" customWidth="1"/>
    <col min="8" max="8" width="5" style="157" customWidth="1"/>
    <col min="9" max="9" width="19.75" style="156" customWidth="1"/>
    <col min="10" max="10" width="9.875" style="81" customWidth="1"/>
    <col min="11" max="16384" width="9" style="158"/>
  </cols>
  <sheetData>
    <row r="1" spans="1:10" s="147" customFormat="1" ht="52.5" customHeight="1" thickBot="1">
      <c r="A1" s="123" t="s">
        <v>102</v>
      </c>
      <c r="B1" s="124" t="s">
        <v>82</v>
      </c>
      <c r="C1" s="125" t="s">
        <v>0</v>
      </c>
      <c r="D1" s="124" t="s">
        <v>1</v>
      </c>
      <c r="E1" s="123" t="s">
        <v>105</v>
      </c>
      <c r="F1" s="128" t="s">
        <v>17</v>
      </c>
      <c r="G1" s="128" t="s">
        <v>26</v>
      </c>
      <c r="H1" s="146" t="s">
        <v>89</v>
      </c>
      <c r="I1" s="145" t="s">
        <v>92</v>
      </c>
      <c r="J1" s="70" t="s">
        <v>57</v>
      </c>
    </row>
    <row r="2" spans="1:10" s="148" customFormat="1" ht="45.75" customHeight="1" thickTop="1">
      <c r="A2" s="129">
        <v>1</v>
      </c>
      <c r="B2" s="221"/>
      <c r="C2" s="222"/>
      <c r="D2" s="223"/>
      <c r="E2" s="224"/>
      <c r="F2" s="225"/>
      <c r="G2" s="225"/>
      <c r="H2" s="202" t="s">
        <v>64</v>
      </c>
      <c r="I2" s="173"/>
      <c r="J2" s="72" t="s">
        <v>56</v>
      </c>
    </row>
    <row r="3" spans="1:10" s="148" customFormat="1" ht="45.75" customHeight="1">
      <c r="A3" s="134">
        <v>2</v>
      </c>
      <c r="B3" s="136"/>
      <c r="C3" s="135"/>
      <c r="D3" s="136"/>
      <c r="E3" s="137"/>
      <c r="F3" s="138"/>
      <c r="G3" s="132"/>
      <c r="H3" s="202" t="s">
        <v>56</v>
      </c>
      <c r="I3" s="174"/>
      <c r="J3" s="75" t="s">
        <v>56</v>
      </c>
    </row>
    <row r="4" spans="1:10" s="148" customFormat="1" ht="45.75" customHeight="1">
      <c r="A4" s="134">
        <v>3</v>
      </c>
      <c r="B4" s="136"/>
      <c r="C4" s="135"/>
      <c r="D4" s="136"/>
      <c r="E4" s="137"/>
      <c r="F4" s="138"/>
      <c r="G4" s="132"/>
      <c r="H4" s="202" t="s">
        <v>56</v>
      </c>
      <c r="I4" s="174"/>
      <c r="J4" s="75" t="s">
        <v>56</v>
      </c>
    </row>
    <row r="5" spans="1:10" s="148" customFormat="1" ht="45.75" customHeight="1">
      <c r="A5" s="134">
        <v>4</v>
      </c>
      <c r="B5" s="136"/>
      <c r="C5" s="135"/>
      <c r="D5" s="136"/>
      <c r="E5" s="137"/>
      <c r="F5" s="138"/>
      <c r="G5" s="132"/>
      <c r="H5" s="202" t="s">
        <v>56</v>
      </c>
      <c r="I5" s="174"/>
      <c r="J5" s="75" t="s">
        <v>56</v>
      </c>
    </row>
    <row r="6" spans="1:10" s="148" customFormat="1" ht="45.75" customHeight="1">
      <c r="A6" s="134">
        <v>5</v>
      </c>
      <c r="B6" s="136"/>
      <c r="C6" s="135"/>
      <c r="D6" s="136"/>
      <c r="E6" s="137"/>
      <c r="F6" s="138"/>
      <c r="G6" s="132"/>
      <c r="H6" s="202" t="s">
        <v>56</v>
      </c>
      <c r="I6" s="174"/>
      <c r="J6" s="75" t="s">
        <v>56</v>
      </c>
    </row>
    <row r="7" spans="1:10" s="148" customFormat="1" ht="45.75" customHeight="1">
      <c r="A7" s="134">
        <v>6</v>
      </c>
      <c r="B7" s="136"/>
      <c r="C7" s="135"/>
      <c r="D7" s="136"/>
      <c r="E7" s="137"/>
      <c r="F7" s="138"/>
      <c r="G7" s="132"/>
      <c r="H7" s="202" t="s">
        <v>56</v>
      </c>
      <c r="I7" s="174"/>
      <c r="J7" s="75" t="s">
        <v>56</v>
      </c>
    </row>
    <row r="8" spans="1:10" s="148" customFormat="1" ht="45.75" customHeight="1">
      <c r="A8" s="134">
        <v>7</v>
      </c>
      <c r="B8" s="136"/>
      <c r="C8" s="135"/>
      <c r="D8" s="136"/>
      <c r="E8" s="137"/>
      <c r="F8" s="138"/>
      <c r="G8" s="132"/>
      <c r="H8" s="202" t="s">
        <v>56</v>
      </c>
      <c r="I8" s="174"/>
      <c r="J8" s="75" t="s">
        <v>56</v>
      </c>
    </row>
    <row r="9" spans="1:10" s="148" customFormat="1" ht="45.75" customHeight="1">
      <c r="A9" s="134">
        <v>8</v>
      </c>
      <c r="B9" s="136"/>
      <c r="C9" s="135"/>
      <c r="D9" s="136"/>
      <c r="E9" s="137"/>
      <c r="F9" s="138"/>
      <c r="G9" s="132"/>
      <c r="H9" s="202" t="s">
        <v>56</v>
      </c>
      <c r="I9" s="174"/>
      <c r="J9" s="75" t="s">
        <v>56</v>
      </c>
    </row>
    <row r="10" spans="1:10" s="148" customFormat="1" ht="45.75" customHeight="1">
      <c r="A10" s="140"/>
      <c r="B10" s="143"/>
      <c r="C10" s="142"/>
      <c r="D10" s="143"/>
      <c r="E10" s="137" t="s">
        <v>70</v>
      </c>
      <c r="F10" s="138">
        <f>SUM(F2:F9)</f>
        <v>0</v>
      </c>
      <c r="G10" s="138">
        <f>SUM(G2:G9)</f>
        <v>0</v>
      </c>
      <c r="H10" s="150"/>
      <c r="I10" s="149"/>
      <c r="J10" s="76">
        <f t="array" ref="J10">SUM(G2:G9*IF(J2:J9="■",1,0))</f>
        <v>0</v>
      </c>
    </row>
    <row r="11" spans="1:10" s="148" customFormat="1" ht="27" customHeight="1">
      <c r="A11" s="140"/>
      <c r="B11" s="151"/>
      <c r="C11" s="152"/>
      <c r="D11" s="153"/>
      <c r="E11" s="154"/>
      <c r="F11" s="155"/>
      <c r="G11" s="155"/>
      <c r="H11" s="150"/>
      <c r="I11" s="156"/>
      <c r="J11" s="81"/>
    </row>
    <row r="12" spans="1:10" s="148" customFormat="1" ht="27" customHeight="1">
      <c r="A12" s="154"/>
      <c r="B12" s="153"/>
      <c r="C12" s="152"/>
      <c r="D12" s="153"/>
      <c r="E12" s="154"/>
      <c r="F12" s="155"/>
      <c r="G12" s="155"/>
      <c r="H12" s="150"/>
      <c r="I12" s="156"/>
      <c r="J12" s="81"/>
    </row>
    <row r="13" spans="1:10" s="148" customFormat="1" ht="27" customHeight="1">
      <c r="A13" s="154"/>
      <c r="B13" s="153"/>
      <c r="C13" s="152"/>
      <c r="D13" s="153"/>
      <c r="E13" s="154"/>
      <c r="F13" s="155"/>
      <c r="G13" s="155"/>
      <c r="H13" s="150"/>
      <c r="I13" s="156"/>
      <c r="J13" s="81"/>
    </row>
    <row r="14" spans="1:10" s="148" customFormat="1" ht="27" customHeight="1">
      <c r="A14" s="154"/>
      <c r="B14" s="153"/>
      <c r="C14" s="152"/>
      <c r="D14" s="153"/>
      <c r="E14" s="154"/>
      <c r="F14" s="155"/>
      <c r="G14" s="155"/>
      <c r="H14" s="157"/>
      <c r="I14" s="156"/>
      <c r="J14" s="81"/>
    </row>
    <row r="15" spans="1:10" s="148" customFormat="1" ht="27" customHeight="1">
      <c r="A15" s="154"/>
      <c r="B15" s="153"/>
      <c r="C15" s="152"/>
      <c r="D15" s="153"/>
      <c r="E15" s="154"/>
      <c r="F15" s="155"/>
      <c r="G15" s="155"/>
      <c r="H15" s="157"/>
      <c r="I15" s="156"/>
      <c r="J15" s="81"/>
    </row>
    <row r="16" spans="1:10" s="148" customFormat="1" ht="27" customHeight="1">
      <c r="A16" s="154"/>
      <c r="B16" s="153"/>
      <c r="C16" s="152"/>
      <c r="D16" s="153"/>
      <c r="E16" s="154"/>
      <c r="F16" s="155"/>
      <c r="G16" s="155"/>
      <c r="H16" s="157"/>
      <c r="I16" s="156"/>
      <c r="J16" s="81"/>
    </row>
    <row r="17" spans="1:10" s="148" customFormat="1" ht="27" customHeight="1">
      <c r="A17" s="154"/>
      <c r="B17" s="153"/>
      <c r="C17" s="152"/>
      <c r="D17" s="153"/>
      <c r="E17" s="154"/>
      <c r="F17" s="155"/>
      <c r="G17" s="155"/>
      <c r="H17" s="157"/>
      <c r="I17" s="156"/>
      <c r="J17" s="81"/>
    </row>
    <row r="18" spans="1:10" s="148" customFormat="1" ht="27" customHeight="1">
      <c r="A18" s="154"/>
      <c r="B18" s="153"/>
      <c r="C18" s="152"/>
      <c r="D18" s="153"/>
      <c r="E18" s="154"/>
      <c r="F18" s="155"/>
      <c r="G18" s="155"/>
      <c r="H18" s="157"/>
      <c r="I18" s="156"/>
      <c r="J18" s="81"/>
    </row>
    <row r="19" spans="1:10" s="148" customFormat="1" ht="27" customHeight="1">
      <c r="A19" s="154"/>
      <c r="B19" s="153"/>
      <c r="C19" s="152"/>
      <c r="D19" s="153"/>
      <c r="E19" s="154"/>
      <c r="F19" s="155"/>
      <c r="G19" s="155"/>
      <c r="H19" s="157"/>
      <c r="I19" s="156"/>
      <c r="J19" s="81"/>
    </row>
    <row r="20" spans="1:10" s="148" customFormat="1" ht="27" customHeight="1">
      <c r="A20" s="154"/>
      <c r="B20" s="153"/>
      <c r="C20" s="152"/>
      <c r="D20" s="153"/>
      <c r="E20" s="154"/>
      <c r="F20" s="155"/>
      <c r="G20" s="155"/>
      <c r="H20" s="157"/>
      <c r="I20" s="156"/>
      <c r="J20" s="81"/>
    </row>
    <row r="21" spans="1:10" s="148" customFormat="1" ht="27" customHeight="1">
      <c r="A21" s="154"/>
      <c r="B21" s="153"/>
      <c r="C21" s="152"/>
      <c r="D21" s="153"/>
      <c r="E21" s="154"/>
      <c r="F21" s="155"/>
      <c r="G21" s="155"/>
      <c r="H21" s="157"/>
      <c r="I21" s="156"/>
      <c r="J21" s="81"/>
    </row>
    <row r="22" spans="1:10" s="148" customFormat="1" ht="27" customHeight="1">
      <c r="A22" s="154"/>
      <c r="B22" s="153"/>
      <c r="C22" s="152"/>
      <c r="D22" s="153"/>
      <c r="E22" s="154"/>
      <c r="F22" s="155"/>
      <c r="G22" s="155"/>
      <c r="H22" s="157"/>
      <c r="I22" s="156"/>
      <c r="J22" s="81"/>
    </row>
    <row r="33" spans="1:10" s="159" customFormat="1" ht="27" customHeight="1">
      <c r="A33" s="154"/>
      <c r="B33" s="153"/>
      <c r="C33" s="152"/>
      <c r="D33" s="153"/>
      <c r="E33" s="154"/>
      <c r="F33" s="155"/>
      <c r="G33" s="155"/>
      <c r="H33" s="157"/>
      <c r="I33" s="156"/>
      <c r="J33" s="81"/>
    </row>
  </sheetData>
  <customSheetViews>
    <customSheetView guid="{2ED08BFB-32F2-40DC-9FA0-3D6DF2CD2658}" scale="65" showPageBreaks="1" showGridLines="0" fitToPage="1">
      <pane xSplit="2" ySplit="1" topLeftCell="C2" activePane="bottomRight" state="frozen"/>
      <selection pane="bottomRight" activeCell="H2" sqref="H2:H9"/>
      <pageMargins left="0.78740157480314965" right="0.78740157480314965" top="1.5748031496062993" bottom="0.78740157480314965" header="1.1811023622047245" footer="0.51181102362204722"/>
      <pageSetup paperSize="9" scale="93" fitToHeight="0" orientation="landscape" horizontalDpi="4294967292" verticalDpi="4294967292" r:id="rId1"/>
      <headerFooter alignWithMargins="0">
        <oddHeader>&amp;C&amp;"ＭＳ Ｐ明朝,太字"&amp;14⑫　売掛金目録</oddHeader>
        <oddFooter>&amp;R&amp;"ＭＳ Ｐ明朝,標準"ver.3.0</oddFooter>
      </headerFooter>
    </customSheetView>
    <customSheetView guid="{EDE077E3-93A2-422C-951E-2814F2FB5724}" scale="65" showPageBreaks="1" showGridLines="0" fitToPage="1">
      <pane xSplit="2" ySplit="1" topLeftCell="C2" activePane="bottomRight" state="frozen"/>
      <selection pane="bottomRight" activeCell="H2" sqref="H2:H9"/>
      <pageMargins left="0.78740157480314965" right="0.78740157480314965" top="1.5748031496062993" bottom="0.78740157480314965" header="1.1811023622047245" footer="0.51181102362204722"/>
      <pageSetup paperSize="9" scale="90" orientation="landscape" horizontalDpi="4294967292" verticalDpi="4294967292" r:id="rId2"/>
      <headerFooter alignWithMargins="0">
        <oddHeader>&amp;C&amp;"ＭＳ Ｐ明朝,太字"&amp;14⑫　売掛金目録</oddHeader>
        <oddFooter>&amp;R&amp;"ＭＳ Ｐ明朝,標準"ver.3.0</oddFooter>
      </headerFooter>
    </customSheetView>
    <customSheetView guid="{348C0A88-2D6B-48B4-929A-E6B77EACA73D}" scale="65" showPageBreaks="1" showGridLines="0" fitToPage="1">
      <pane xSplit="2" ySplit="1" topLeftCell="C2" activePane="bottomRight" state="frozen"/>
      <selection pane="bottomRight" activeCell="F4" sqref="F4"/>
      <pageMargins left="0.78740157480314965" right="0.78740157480314965" top="1.5748031496062993" bottom="0.78740157480314965" header="1.1811023622047245" footer="0.51181102362204722"/>
      <pageSetup paperSize="9" scale="93" fitToHeight="0" orientation="landscape" horizontalDpi="4294967292" verticalDpi="4294967292" r:id="rId3"/>
      <headerFooter alignWithMargins="0">
        <oddHeader>&amp;C&amp;"ＭＳ Ｐ明朝,太字"&amp;14⑫　売掛金目録</oddHeader>
        <oddFooter>&amp;R&amp;"ＭＳ Ｐ明朝,標準"ver.4.0</oddFooter>
      </headerFooter>
    </customSheetView>
    <customSheetView guid="{CB2864B2-4E22-42B2-A294-4D47309CF09D}" scale="65" showPageBreaks="1" showGridLines="0" fitToPage="1">
      <pane xSplit="2" ySplit="1" topLeftCell="C2" activePane="bottomRight" state="frozen"/>
      <selection pane="bottomRight" activeCell="H2" sqref="H2:H9"/>
      <pageMargins left="0.78740157480314965" right="0.78740157480314965" top="1.5748031496062993" bottom="0.78740157480314965" header="1.1811023622047245" footer="0.51181102362204722"/>
      <pageSetup paperSize="9" scale="93" fitToHeight="0" orientation="landscape" horizontalDpi="4294967292" verticalDpi="4294967292" r:id="rId4"/>
      <headerFooter alignWithMargins="0">
        <oddHeader>&amp;C&amp;"ＭＳ Ｐ明朝,太字"&amp;14⑫　売掛金目録</oddHeader>
        <oddFooter>&amp;R&amp;"ＭＳ Ｐ明朝,標準"ver.3.0</oddFooter>
      </headerFooter>
    </customSheetView>
  </customSheetViews>
  <phoneticPr fontId="2"/>
  <conditionalFormatting sqref="G3:H9 H2">
    <cfRule type="expression" dxfId="12" priority="2" stopIfTrue="1">
      <formula>ISBLANK(F2)</formula>
    </cfRule>
  </conditionalFormatting>
  <conditionalFormatting sqref="I2:I9">
    <cfRule type="expression" dxfId="11" priority="7" stopIfTrue="1">
      <formula>ISBLANK(G2)</formula>
    </cfRule>
  </conditionalFormatting>
  <conditionalFormatting sqref="G2">
    <cfRule type="expression" dxfId="10" priority="1" stopIfTrue="1">
      <formula>ISBLANK($F2)</formula>
    </cfRule>
  </conditionalFormatting>
  <dataValidations count="2">
    <dataValidation imeMode="on" allowBlank="1" showInputMessage="1" showErrorMessage="1" sqref="B1:B1048576 D1:D1048576 I1:J1048576 H2:H9" xr:uid="{00000000-0002-0000-0A00-000000000000}"/>
    <dataValidation imeMode="off" allowBlank="1" showInputMessage="1" showErrorMessage="1" sqref="A1:A1048576 K1:IV1048576 C1:C1048576 E1:G1048576 H1 H10:H1048576" xr:uid="{00000000-0002-0000-0A00-000001000000}"/>
  </dataValidations>
  <pageMargins left="0.78740157480314965" right="0.78740157480314965" top="1.5748031496062993" bottom="0.78740157480314965" header="1.1811023622047245" footer="0.51181102362204722"/>
  <pageSetup paperSize="9" scale="93" fitToHeight="0" orientation="landscape" horizontalDpi="4294967292" verticalDpi="4294967292" r:id="rId5"/>
  <headerFooter alignWithMargins="0">
    <oddHeader>&amp;C&amp;"ＭＳ Ｐ明朝,太字"&amp;14⑪　売掛金目録</oddHeader>
    <oddFooter>&amp;C&amp;P&amp;R&amp;"ＭＳ Ｐ明朝,標準"ver.4.0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0">
    <pageSetUpPr fitToPage="1"/>
  </sheetPr>
  <dimension ref="A1:J31"/>
  <sheetViews>
    <sheetView showGridLines="0" zoomScale="70" zoomScaleNormal="70" workbookViewId="0">
      <pane xSplit="2" ySplit="1" topLeftCell="C2" activePane="bottomRight" state="frozen"/>
      <selection pane="topRight" activeCell="C1" sqref="C1"/>
      <selection pane="bottomLeft" activeCell="A2" sqref="A2"/>
      <selection pane="bottomRight" activeCell="B2" sqref="B2"/>
    </sheetView>
  </sheetViews>
  <sheetFormatPr defaultRowHeight="27" customHeight="1"/>
  <cols>
    <col min="1" max="1" width="5.25" style="154" customWidth="1"/>
    <col min="2" max="2" width="20.25" style="153" customWidth="1"/>
    <col min="3" max="3" width="10" style="152" customWidth="1"/>
    <col min="4" max="4" width="26.125" style="153" customWidth="1"/>
    <col min="5" max="5" width="13.375" style="154" customWidth="1"/>
    <col min="6" max="7" width="15.875" style="155" customWidth="1"/>
    <col min="8" max="8" width="5" style="157" customWidth="1"/>
    <col min="9" max="9" width="19.75" style="156" customWidth="1"/>
    <col min="10" max="10" width="9.375" style="81" bestFit="1" customWidth="1"/>
    <col min="11" max="16384" width="9" style="158"/>
  </cols>
  <sheetData>
    <row r="1" spans="1:10" s="147" customFormat="1" ht="52.5" customHeight="1" thickBot="1">
      <c r="A1" s="123" t="s">
        <v>102</v>
      </c>
      <c r="B1" s="124" t="s">
        <v>82</v>
      </c>
      <c r="C1" s="125" t="s">
        <v>0</v>
      </c>
      <c r="D1" s="124" t="s">
        <v>1</v>
      </c>
      <c r="E1" s="123" t="s">
        <v>105</v>
      </c>
      <c r="F1" s="128" t="s">
        <v>17</v>
      </c>
      <c r="G1" s="128" t="s">
        <v>26</v>
      </c>
      <c r="H1" s="146" t="s">
        <v>49</v>
      </c>
      <c r="I1" s="145" t="s">
        <v>92</v>
      </c>
      <c r="J1" s="70" t="s">
        <v>57</v>
      </c>
    </row>
    <row r="2" spans="1:10" s="148" customFormat="1" ht="45" customHeight="1" thickTop="1">
      <c r="A2" s="129">
        <v>1</v>
      </c>
      <c r="B2" s="196"/>
      <c r="C2" s="197"/>
      <c r="D2" s="198"/>
      <c r="E2" s="160"/>
      <c r="F2" s="212"/>
      <c r="G2" s="132"/>
      <c r="H2" s="202" t="s">
        <v>56</v>
      </c>
      <c r="I2" s="175"/>
      <c r="J2" s="72" t="s">
        <v>56</v>
      </c>
    </row>
    <row r="3" spans="1:10" s="148" customFormat="1" ht="45" customHeight="1">
      <c r="A3" s="134">
        <v>2</v>
      </c>
      <c r="B3" s="196"/>
      <c r="C3" s="197"/>
      <c r="D3" s="198"/>
      <c r="E3" s="161"/>
      <c r="F3" s="212"/>
      <c r="G3" s="132"/>
      <c r="H3" s="202" t="s">
        <v>56</v>
      </c>
      <c r="I3" s="175"/>
      <c r="J3" s="75" t="s">
        <v>56</v>
      </c>
    </row>
    <row r="4" spans="1:10" s="148" customFormat="1" ht="45" customHeight="1">
      <c r="A4" s="134">
        <v>3</v>
      </c>
      <c r="B4" s="196"/>
      <c r="C4" s="135"/>
      <c r="D4" s="136"/>
      <c r="E4" s="137"/>
      <c r="F4" s="212"/>
      <c r="G4" s="132"/>
      <c r="H4" s="202" t="s">
        <v>56</v>
      </c>
      <c r="I4" s="175"/>
      <c r="J4" s="75" t="s">
        <v>56</v>
      </c>
    </row>
    <row r="5" spans="1:10" s="148" customFormat="1" ht="45" customHeight="1">
      <c r="A5" s="134">
        <v>4</v>
      </c>
      <c r="B5" s="136"/>
      <c r="C5" s="135"/>
      <c r="D5" s="136"/>
      <c r="E5" s="137"/>
      <c r="F5" s="211"/>
      <c r="G5" s="132"/>
      <c r="H5" s="202" t="s">
        <v>56</v>
      </c>
      <c r="I5" s="174"/>
      <c r="J5" s="75" t="s">
        <v>56</v>
      </c>
    </row>
    <row r="6" spans="1:10" s="148" customFormat="1" ht="45" customHeight="1">
      <c r="A6" s="134">
        <v>5</v>
      </c>
      <c r="B6" s="136"/>
      <c r="C6" s="135"/>
      <c r="D6" s="136"/>
      <c r="E6" s="137"/>
      <c r="F6" s="211"/>
      <c r="G6" s="132"/>
      <c r="H6" s="202" t="s">
        <v>56</v>
      </c>
      <c r="I6" s="174"/>
      <c r="J6" s="75" t="s">
        <v>56</v>
      </c>
    </row>
    <row r="7" spans="1:10" s="148" customFormat="1" ht="45" customHeight="1">
      <c r="A7" s="134">
        <v>6</v>
      </c>
      <c r="B7" s="136"/>
      <c r="C7" s="135"/>
      <c r="D7" s="136"/>
      <c r="E7" s="137"/>
      <c r="F7" s="211"/>
      <c r="G7" s="132"/>
      <c r="H7" s="202" t="s">
        <v>56</v>
      </c>
      <c r="I7" s="174"/>
      <c r="J7" s="75" t="s">
        <v>56</v>
      </c>
    </row>
    <row r="8" spans="1:10" s="148" customFormat="1" ht="45" customHeight="1">
      <c r="A8" s="134">
        <v>7</v>
      </c>
      <c r="B8" s="136"/>
      <c r="C8" s="135"/>
      <c r="D8" s="136"/>
      <c r="E8" s="137"/>
      <c r="F8" s="211"/>
      <c r="G8" s="132"/>
      <c r="H8" s="202" t="s">
        <v>56</v>
      </c>
      <c r="I8" s="174"/>
      <c r="J8" s="75" t="s">
        <v>56</v>
      </c>
    </row>
    <row r="9" spans="1:10" s="148" customFormat="1" ht="45" customHeight="1">
      <c r="A9" s="134">
        <v>8</v>
      </c>
      <c r="B9" s="136"/>
      <c r="C9" s="135"/>
      <c r="D9" s="136"/>
      <c r="E9" s="137"/>
      <c r="F9" s="211"/>
      <c r="G9" s="132"/>
      <c r="H9" s="202" t="s">
        <v>56</v>
      </c>
      <c r="I9" s="174"/>
      <c r="J9" s="75" t="s">
        <v>56</v>
      </c>
    </row>
    <row r="10" spans="1:10" s="148" customFormat="1" ht="45" customHeight="1">
      <c r="A10" s="140"/>
      <c r="B10" s="143"/>
      <c r="C10" s="142"/>
      <c r="D10" s="143"/>
      <c r="E10" s="137" t="s">
        <v>70</v>
      </c>
      <c r="F10" s="138">
        <f>SUM(F2:F9)</f>
        <v>0</v>
      </c>
      <c r="G10" s="138">
        <f>SUM(G2:G9)</f>
        <v>0</v>
      </c>
      <c r="H10" s="150"/>
      <c r="I10" s="149"/>
      <c r="J10" s="76">
        <f t="array" ref="J10">SUM(G2:G9*IF(J2:J9="■",1,0))</f>
        <v>0</v>
      </c>
    </row>
    <row r="11" spans="1:10" s="148" customFormat="1" ht="27" customHeight="1">
      <c r="A11" s="154"/>
      <c r="B11" s="153"/>
      <c r="C11" s="152"/>
      <c r="D11" s="153"/>
      <c r="E11" s="154"/>
      <c r="F11" s="155"/>
      <c r="G11" s="155"/>
      <c r="H11" s="157"/>
      <c r="I11" s="156"/>
      <c r="J11" s="81"/>
    </row>
    <row r="12" spans="1:10" s="148" customFormat="1" ht="27" customHeight="1">
      <c r="A12" s="154"/>
      <c r="B12" s="153"/>
      <c r="C12" s="152"/>
      <c r="D12" s="153"/>
      <c r="E12" s="154"/>
      <c r="F12" s="155"/>
      <c r="G12" s="155"/>
      <c r="H12" s="157"/>
      <c r="I12" s="156"/>
      <c r="J12" s="81"/>
    </row>
    <row r="13" spans="1:10" s="148" customFormat="1" ht="27" customHeight="1">
      <c r="A13" s="154"/>
      <c r="B13" s="153"/>
      <c r="C13" s="152"/>
      <c r="D13" s="153"/>
      <c r="E13" s="154"/>
      <c r="F13" s="155"/>
      <c r="G13" s="155"/>
      <c r="H13" s="157"/>
      <c r="I13" s="156"/>
      <c r="J13" s="81"/>
    </row>
    <row r="14" spans="1:10" s="148" customFormat="1" ht="27" customHeight="1">
      <c r="A14" s="154"/>
      <c r="B14" s="153"/>
      <c r="C14" s="152"/>
      <c r="D14" s="153"/>
      <c r="E14" s="154"/>
      <c r="F14" s="155"/>
      <c r="G14" s="155"/>
      <c r="H14" s="157"/>
      <c r="I14" s="156"/>
      <c r="J14" s="81"/>
    </row>
    <row r="15" spans="1:10" s="148" customFormat="1" ht="27" customHeight="1">
      <c r="A15" s="154"/>
      <c r="B15" s="153"/>
      <c r="C15" s="152"/>
      <c r="D15" s="153"/>
      <c r="E15" s="154"/>
      <c r="F15" s="155"/>
      <c r="G15" s="155"/>
      <c r="H15" s="157"/>
      <c r="I15" s="156"/>
      <c r="J15" s="81"/>
    </row>
    <row r="16" spans="1:10" s="148" customFormat="1" ht="27" customHeight="1">
      <c r="A16" s="154"/>
      <c r="B16" s="153"/>
      <c r="C16" s="152"/>
      <c r="D16" s="153"/>
      <c r="E16" s="154"/>
      <c r="F16" s="155"/>
      <c r="G16" s="155"/>
      <c r="H16" s="157"/>
      <c r="I16" s="156"/>
      <c r="J16" s="81"/>
    </row>
    <row r="17" spans="1:10" s="148" customFormat="1" ht="27" customHeight="1">
      <c r="A17" s="154"/>
      <c r="B17" s="153"/>
      <c r="C17" s="152"/>
      <c r="D17" s="153"/>
      <c r="E17" s="154"/>
      <c r="F17" s="155"/>
      <c r="G17" s="155"/>
      <c r="H17" s="157"/>
      <c r="I17" s="156"/>
      <c r="J17" s="81"/>
    </row>
    <row r="18" spans="1:10" s="148" customFormat="1" ht="27" customHeight="1">
      <c r="A18" s="154"/>
      <c r="B18" s="153"/>
      <c r="C18" s="152"/>
      <c r="D18" s="153"/>
      <c r="E18" s="154"/>
      <c r="F18" s="155"/>
      <c r="G18" s="155"/>
      <c r="H18" s="157"/>
      <c r="I18" s="156"/>
      <c r="J18" s="81"/>
    </row>
    <row r="19" spans="1:10" s="148" customFormat="1" ht="27" customHeight="1">
      <c r="A19" s="154"/>
      <c r="B19" s="153"/>
      <c r="C19" s="152"/>
      <c r="D19" s="153"/>
      <c r="E19" s="154"/>
      <c r="F19" s="155"/>
      <c r="G19" s="155"/>
      <c r="H19" s="157"/>
      <c r="I19" s="156"/>
      <c r="J19" s="81"/>
    </row>
    <row r="20" spans="1:10" s="148" customFormat="1" ht="27" customHeight="1">
      <c r="A20" s="154"/>
      <c r="B20" s="153"/>
      <c r="C20" s="152"/>
      <c r="D20" s="153"/>
      <c r="E20" s="154"/>
      <c r="F20" s="155"/>
      <c r="G20" s="155"/>
      <c r="H20" s="157"/>
      <c r="I20" s="156"/>
      <c r="J20" s="81"/>
    </row>
    <row r="21" spans="1:10" s="148" customFormat="1" ht="27" customHeight="1">
      <c r="A21" s="154"/>
      <c r="B21" s="153"/>
      <c r="C21" s="152"/>
      <c r="D21" s="153"/>
      <c r="E21" s="154"/>
      <c r="F21" s="155"/>
      <c r="G21" s="155"/>
      <c r="H21" s="157"/>
      <c r="I21" s="156"/>
      <c r="J21" s="81"/>
    </row>
    <row r="22" spans="1:10" s="148" customFormat="1" ht="27" customHeight="1">
      <c r="A22" s="154"/>
      <c r="B22" s="153"/>
      <c r="C22" s="152"/>
      <c r="D22" s="153"/>
      <c r="E22" s="154"/>
      <c r="F22" s="155"/>
      <c r="G22" s="155"/>
      <c r="H22" s="157"/>
      <c r="I22" s="156"/>
      <c r="J22" s="81"/>
    </row>
    <row r="23" spans="1:10" s="148" customFormat="1" ht="27" customHeight="1">
      <c r="A23" s="154"/>
      <c r="B23" s="153"/>
      <c r="C23" s="152"/>
      <c r="D23" s="153"/>
      <c r="E23" s="154"/>
      <c r="F23" s="155"/>
      <c r="G23" s="155"/>
      <c r="H23" s="157"/>
      <c r="I23" s="156"/>
      <c r="J23" s="81"/>
    </row>
    <row r="31" spans="1:10" s="159" customFormat="1" ht="27" customHeight="1">
      <c r="A31" s="154"/>
      <c r="B31" s="153"/>
      <c r="C31" s="152"/>
      <c r="D31" s="153"/>
      <c r="E31" s="154"/>
      <c r="F31" s="155"/>
      <c r="G31" s="155"/>
      <c r="H31" s="157"/>
      <c r="I31" s="156"/>
      <c r="J31" s="81"/>
    </row>
  </sheetData>
  <customSheetViews>
    <customSheetView guid="{2ED08BFB-32F2-40DC-9FA0-3D6DF2CD2658}" scale="70" showPageBreaks="1" showGridLines="0" fitToPage="1">
      <pane xSplit="2" ySplit="1" topLeftCell="C2" activePane="bottomRight" state="frozen"/>
      <selection pane="bottomRight" activeCell="H2" sqref="H2:H9"/>
      <pageMargins left="0.78740157480314965" right="0.78740157480314965" top="1.5748031496062993" bottom="0.78740157480314965" header="1.1811023622047245" footer="0.51181102362204722"/>
      <pageSetup paperSize="9" scale="93" fitToHeight="0" orientation="landscape" horizontalDpi="4294967292" verticalDpi="4294967292" r:id="rId1"/>
      <headerFooter alignWithMargins="0">
        <oddHeader>&amp;C&amp;"ＭＳ Ｐ明朝,太字"&amp;14⑬　貸付金目録</oddHeader>
        <oddFooter>&amp;R&amp;"ＭＳ Ｐ明朝,標準"ver.3.0</oddFooter>
      </headerFooter>
    </customSheetView>
    <customSheetView guid="{EDE077E3-93A2-422C-951E-2814F2FB5724}" scale="70" showPageBreaks="1" showGridLines="0" fitToPage="1">
      <pane xSplit="2" ySplit="1" topLeftCell="C2" activePane="bottomRight" state="frozen"/>
      <selection pane="bottomRight" activeCell="H2" sqref="H2:H9"/>
      <pageMargins left="0.78740157480314965" right="0.78740157480314965" top="1.5748031496062993" bottom="0.78740157480314965" header="1.1811023622047245" footer="0.51181102362204722"/>
      <pageSetup paperSize="9" scale="90" orientation="landscape" horizontalDpi="4294967292" verticalDpi="4294967292" r:id="rId2"/>
      <headerFooter alignWithMargins="0">
        <oddHeader>&amp;C&amp;"ＭＳ Ｐ明朝,太字"&amp;14⑬　貸付金目録</oddHeader>
        <oddFooter>&amp;R&amp;"ＭＳ Ｐ明朝,標準"ver.3.0</oddFooter>
      </headerFooter>
    </customSheetView>
    <customSheetView guid="{348C0A88-2D6B-48B4-929A-E6B77EACA73D}" scale="70" showPageBreaks="1" showGridLines="0" fitToPage="1">
      <pane xSplit="2" ySplit="1" topLeftCell="C2" activePane="bottomRight" state="frozen"/>
      <selection pane="bottomRight" activeCell="M6" sqref="M6"/>
      <pageMargins left="0.78740157480314965" right="0.78740157480314965" top="1.5748031496062993" bottom="0.78740157480314965" header="1.1811023622047245" footer="0.51181102362204722"/>
      <pageSetup paperSize="9" scale="93" fitToHeight="0" orientation="landscape" horizontalDpi="4294967292" verticalDpi="4294967292" r:id="rId3"/>
      <headerFooter alignWithMargins="0">
        <oddHeader>&amp;C&amp;"ＭＳ Ｐ明朝,太字"&amp;14⑬　貸付金目録</oddHeader>
        <oddFooter>&amp;R&amp;"ＭＳ Ｐ明朝,標準"ver.4.0</oddFooter>
      </headerFooter>
    </customSheetView>
    <customSheetView guid="{CB2864B2-4E22-42B2-A294-4D47309CF09D}" scale="70" showPageBreaks="1" showGridLines="0" fitToPage="1">
      <pane xSplit="2" ySplit="1" topLeftCell="C2" activePane="bottomRight" state="frozen"/>
      <selection pane="bottomRight" activeCell="M5" sqref="M5"/>
      <pageMargins left="0.78740157480314965" right="0.78740157480314965" top="1.5748031496062993" bottom="0.78740157480314965" header="1.1811023622047245" footer="0.51181102362204722"/>
      <pageSetup paperSize="9" scale="93" fitToHeight="0" orientation="landscape" horizontalDpi="4294967292" verticalDpi="4294967292" r:id="rId4"/>
      <headerFooter alignWithMargins="0">
        <oddHeader>&amp;C&amp;"ＭＳ Ｐ明朝,太字"&amp;14⑬　貸付金目録</oddHeader>
        <oddFooter>&amp;R&amp;"ＭＳ Ｐ明朝,標準"ver.3.0</oddFooter>
      </headerFooter>
    </customSheetView>
  </customSheetViews>
  <phoneticPr fontId="2"/>
  <conditionalFormatting sqref="G2:H9">
    <cfRule type="expression" dxfId="9" priority="1" stopIfTrue="1">
      <formula>ISBLANK(F2)</formula>
    </cfRule>
  </conditionalFormatting>
  <conditionalFormatting sqref="I2:I9">
    <cfRule type="expression" dxfId="8" priority="8" stopIfTrue="1">
      <formula>ISBLANK(G2)</formula>
    </cfRule>
  </conditionalFormatting>
  <dataValidations count="2">
    <dataValidation imeMode="off" allowBlank="1" showInputMessage="1" showErrorMessage="1" sqref="A1:A1048576 C1:C1048576 K1:IV1048576 E1:G1048576 H1 H10:H1048576" xr:uid="{00000000-0002-0000-0B00-000000000000}"/>
    <dataValidation imeMode="on" allowBlank="1" showInputMessage="1" showErrorMessage="1" sqref="B1:B1048576 D1:D1048576 I1:J1048576 H2:H9" xr:uid="{00000000-0002-0000-0B00-000001000000}"/>
  </dataValidations>
  <pageMargins left="0.78740157480314965" right="0.78740157480314965" top="1.5748031496062993" bottom="0.78740157480314965" header="1.1811023622047245" footer="0.51181102362204722"/>
  <pageSetup paperSize="9" scale="93" fitToHeight="0" orientation="landscape" horizontalDpi="4294967292" verticalDpi="4294967292" r:id="rId5"/>
  <headerFooter alignWithMargins="0">
    <oddHeader>&amp;C&amp;"ＭＳ Ｐ明朝,太字"&amp;14⑫　貸付金目録</oddHeader>
    <oddFooter>&amp;C&amp;P&amp;R&amp;"ＭＳ Ｐ明朝,標準"ver.4.0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pageSetUpPr fitToPage="1"/>
  </sheetPr>
  <dimension ref="A1:H10"/>
  <sheetViews>
    <sheetView showGridLines="0"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1.75" style="2" customWidth="1"/>
    <col min="3" max="3" width="5.625" style="2" bestFit="1" customWidth="1"/>
    <col min="4" max="4" width="36.75" style="2" customWidth="1"/>
    <col min="5" max="6" width="15.875" style="11" customWidth="1"/>
    <col min="7" max="7" width="17.125" style="6" customWidth="1"/>
    <col min="8" max="8" width="9.875" style="2" customWidth="1"/>
    <col min="9" max="16384" width="27" style="6"/>
  </cols>
  <sheetData>
    <row r="1" spans="1:8" s="46" customFormat="1" ht="52.5" customHeight="1" thickBot="1">
      <c r="A1" s="69" t="s">
        <v>54</v>
      </c>
      <c r="B1" s="70" t="s">
        <v>31</v>
      </c>
      <c r="C1" s="70" t="s">
        <v>32</v>
      </c>
      <c r="D1" s="69" t="s">
        <v>30</v>
      </c>
      <c r="E1" s="107" t="s">
        <v>59</v>
      </c>
      <c r="F1" s="107" t="s">
        <v>40</v>
      </c>
      <c r="G1" s="69" t="s">
        <v>46</v>
      </c>
      <c r="H1" s="70" t="s">
        <v>57</v>
      </c>
    </row>
    <row r="2" spans="1:8" ht="45" customHeight="1" thickTop="1">
      <c r="A2" s="72">
        <v>1</v>
      </c>
      <c r="B2" s="226"/>
      <c r="C2" s="1"/>
      <c r="D2" s="227"/>
      <c r="E2" s="21"/>
      <c r="F2" s="21"/>
      <c r="G2" s="176"/>
      <c r="H2" s="72" t="s">
        <v>56</v>
      </c>
    </row>
    <row r="3" spans="1:8" ht="45" customHeight="1">
      <c r="A3" s="75">
        <v>2</v>
      </c>
      <c r="B3" s="108"/>
      <c r="C3" s="75"/>
      <c r="D3" s="108"/>
      <c r="E3" s="182"/>
      <c r="F3" s="106"/>
      <c r="G3" s="108"/>
      <c r="H3" s="75" t="s">
        <v>56</v>
      </c>
    </row>
    <row r="4" spans="1:8" ht="45" customHeight="1">
      <c r="A4" s="75">
        <v>3</v>
      </c>
      <c r="B4" s="108"/>
      <c r="C4" s="75"/>
      <c r="D4" s="108"/>
      <c r="E4" s="182"/>
      <c r="F4" s="106"/>
      <c r="G4" s="108"/>
      <c r="H4" s="75" t="s">
        <v>56</v>
      </c>
    </row>
    <row r="5" spans="1:8" ht="45" customHeight="1">
      <c r="A5" s="75">
        <v>4</v>
      </c>
      <c r="B5" s="108"/>
      <c r="C5" s="75"/>
      <c r="D5" s="108"/>
      <c r="E5" s="182"/>
      <c r="F5" s="106"/>
      <c r="G5" s="108"/>
      <c r="H5" s="75" t="s">
        <v>56</v>
      </c>
    </row>
    <row r="6" spans="1:8" ht="45" customHeight="1">
      <c r="A6" s="75">
        <v>5</v>
      </c>
      <c r="B6" s="108"/>
      <c r="C6" s="75"/>
      <c r="D6" s="109"/>
      <c r="E6" s="182"/>
      <c r="F6" s="106"/>
      <c r="G6" s="108"/>
      <c r="H6" s="75" t="s">
        <v>56</v>
      </c>
    </row>
    <row r="7" spans="1:8" ht="45" customHeight="1">
      <c r="A7" s="75">
        <v>6</v>
      </c>
      <c r="B7" s="108"/>
      <c r="C7" s="75"/>
      <c r="D7" s="108"/>
      <c r="E7" s="182"/>
      <c r="F7" s="106"/>
      <c r="G7" s="108"/>
      <c r="H7" s="75" t="s">
        <v>56</v>
      </c>
    </row>
    <row r="8" spans="1:8" ht="45" customHeight="1">
      <c r="A8" s="75">
        <v>7</v>
      </c>
      <c r="B8" s="108"/>
      <c r="C8" s="75"/>
      <c r="D8" s="108"/>
      <c r="E8" s="182"/>
      <c r="F8" s="106"/>
      <c r="G8" s="108"/>
      <c r="H8" s="75" t="s">
        <v>56</v>
      </c>
    </row>
    <row r="9" spans="1:8" ht="45" customHeight="1">
      <c r="A9" s="75">
        <v>8</v>
      </c>
      <c r="B9" s="108"/>
      <c r="C9" s="75"/>
      <c r="D9" s="108"/>
      <c r="E9" s="182"/>
      <c r="F9" s="106"/>
      <c r="G9" s="108"/>
      <c r="H9" s="75" t="s">
        <v>56</v>
      </c>
    </row>
    <row r="10" spans="1:8" ht="45" customHeight="1">
      <c r="A10" s="81"/>
      <c r="B10" s="81"/>
      <c r="C10" s="81"/>
      <c r="D10" s="75" t="s">
        <v>69</v>
      </c>
      <c r="E10" s="76">
        <f>SUM(E2:E9)</f>
        <v>0</v>
      </c>
      <c r="F10" s="76">
        <f>SUM(F2:F9)</f>
        <v>0</v>
      </c>
      <c r="G10" s="103"/>
      <c r="H10" s="76">
        <f t="array" ref="H10">SUM(F2:F9*IF(H2:H9="■",1,0))</f>
        <v>0</v>
      </c>
    </row>
  </sheetData>
  <customSheetViews>
    <customSheetView guid="{2ED08BFB-32F2-40DC-9FA0-3D6DF2CD2658}" scale="75" showPageBreaks="1" showGridLines="0" fitToPage="1">
      <pane xSplit="2" ySplit="1" topLeftCell="C2" activePane="bottomRight" state="frozen"/>
      <selection pane="bottomRight" activeCell="I5" sqref="I5"/>
      <colBreaks count="7" manualBreakCount="7">
        <brk id="8" max="1048575" man="1"/>
        <brk id="12" max="1048575" man="1"/>
        <brk id="13" max="1048575" man="1"/>
        <brk id="16" max="1048575" man="1"/>
        <brk id="18" max="1048575" man="1"/>
        <brk id="23" max="1048575" man="1"/>
        <brk id="28" max="1048575" man="1"/>
      </colBreaks>
      <pageMargins left="0.78740157480314965" right="0.78740157480314965" top="1.5748031496062993" bottom="0.78740157480314965" header="1.1811023622047245" footer="0.51181102362204722"/>
      <pageSetup paperSize="9" fitToHeight="0" orientation="landscape" horizontalDpi="4294967293" verticalDpi="4294967293" r:id="rId1"/>
      <headerFooter alignWithMargins="0">
        <oddHeader>&amp;C&amp;"ＭＳ Ｐ明朝,太字"&amp;14⑭　在庫商品目録</oddHeader>
        <oddFooter>&amp;R&amp;"ＭＳ Ｐ明朝,標準"ver.3.0</oddFooter>
      </headerFooter>
    </customSheetView>
    <customSheetView guid="{EDE077E3-93A2-422C-951E-2814F2FB5724}" scale="75" showPageBreaks="1" showGridLines="0" fitToPage="1">
      <pane xSplit="2" ySplit="1" topLeftCell="C2" activePane="bottomRight" state="frozen"/>
      <selection pane="bottomRight" activeCell="J5" sqref="J5"/>
      <colBreaks count="3" manualBreakCount="3">
        <brk id="9" max="1048575" man="1"/>
        <brk id="14" max="1048575" man="1"/>
        <brk id="19" max="1048575" man="1"/>
      </colBreaks>
      <pageMargins left="0.78740157480314965" right="0.78740157480314965" top="1.5748031496062993" bottom="0.78740157480314965" header="1.1811023622047245" footer="0.51181102362204722"/>
      <pageSetup paperSize="9" scale="91" orientation="landscape" horizontalDpi="4294967293" verticalDpi="4294967293" r:id="rId2"/>
      <headerFooter alignWithMargins="0">
        <oddHeader>&amp;C&amp;"ＭＳ Ｐ明朝,太字"&amp;14⑭　在庫商品目録</oddHeader>
        <oddFooter>&amp;R&amp;"ＭＳ Ｐ明朝,標準"ver.3.0</oddFooter>
      </headerFooter>
    </customSheetView>
    <customSheetView guid="{348C0A88-2D6B-48B4-929A-E6B77EACA73D}" scale="75" showPageBreaks="1" showGridLines="0" fitToPage="1">
      <pane xSplit="2" ySplit="1" topLeftCell="C2" activePane="bottomRight" state="frozen"/>
      <selection pane="bottomRight" activeCell="I5" sqref="I5"/>
      <colBreaks count="7" manualBreakCount="7">
        <brk id="8" max="1048575" man="1"/>
        <brk id="12" max="1048575" man="1"/>
        <brk id="13" max="1048575" man="1"/>
        <brk id="16" max="1048575" man="1"/>
        <brk id="18" max="1048575" man="1"/>
        <brk id="23" max="1048575" man="1"/>
        <brk id="28" max="1048575" man="1"/>
      </colBreaks>
      <pageMargins left="0.78740157480314965" right="0.78740157480314965" top="1.5748031496062993" bottom="0.78740157480314965" header="1.1811023622047245" footer="0.51181102362204722"/>
      <pageSetup paperSize="9" fitToHeight="0" orientation="landscape" horizontalDpi="4294967293" verticalDpi="4294967293" r:id="rId3"/>
      <headerFooter alignWithMargins="0">
        <oddHeader>&amp;C&amp;"ＭＳ Ｐ明朝,太字"&amp;14⑭　在庫商品目録</oddHeader>
        <oddFooter>&amp;R&amp;"ＭＳ Ｐ明朝,標準"ver.4.0</oddFooter>
      </headerFooter>
    </customSheetView>
    <customSheetView guid="{CB2864B2-4E22-42B2-A294-4D47309CF09D}" scale="75" showPageBreaks="1" showGridLines="0" fitToPage="1">
      <pane xSplit="2" ySplit="1" topLeftCell="C2" activePane="bottomRight" state="frozen"/>
      <selection pane="bottomRight" activeCell="I5" sqref="I5"/>
      <colBreaks count="7" manualBreakCount="7">
        <brk id="8" max="1048575" man="1"/>
        <brk id="12" max="1048575" man="1"/>
        <brk id="13" max="1048575" man="1"/>
        <brk id="16" max="1048575" man="1"/>
        <brk id="18" max="1048575" man="1"/>
        <brk id="23" max="1048575" man="1"/>
        <brk id="28" max="1048575" man="1"/>
      </colBreaks>
      <pageMargins left="0.78740157480314965" right="0.78740157480314965" top="1.5748031496062993" bottom="0.78740157480314965" header="1.1811023622047245" footer="0.51181102362204722"/>
      <pageSetup paperSize="9" fitToHeight="0" orientation="landscape" horizontalDpi="4294967293" verticalDpi="4294967293" r:id="rId4"/>
      <headerFooter alignWithMargins="0">
        <oddHeader>&amp;C&amp;"ＭＳ Ｐ明朝,太字"&amp;14⑭　在庫商品目録</oddHeader>
        <oddFooter>&amp;R&amp;"ＭＳ Ｐ明朝,標準"ver.3.0</oddFooter>
      </headerFooter>
    </customSheetView>
  </customSheetViews>
  <phoneticPr fontId="6"/>
  <conditionalFormatting sqref="F3:F9">
    <cfRule type="expression" dxfId="7" priority="2" stopIfTrue="1">
      <formula>ISBLANK(E3)</formula>
    </cfRule>
  </conditionalFormatting>
  <conditionalFormatting sqref="F2">
    <cfRule type="expression" dxfId="6" priority="1" stopIfTrue="1">
      <formula>ISBLANK($E2)</formula>
    </cfRule>
  </conditionalFormatting>
  <dataValidations count="2">
    <dataValidation imeMode="off" allowBlank="1" showInputMessage="1" showErrorMessage="1" sqref="A1:A1048576 I1:IV1048576 C1:C1048576 E1:F1048576" xr:uid="{00000000-0002-0000-0C00-000000000000}"/>
    <dataValidation imeMode="on" allowBlank="1" showInputMessage="1" showErrorMessage="1" sqref="B1:B1048576 D1:D1048576 G1:H1048576" xr:uid="{00000000-0002-0000-0C00-000001000000}"/>
  </dataValidations>
  <pageMargins left="0.78740157480314965" right="0.78740157480314965" top="1.5748031496062993" bottom="0.78740157480314965" header="1.1811023622047245" footer="0.51181102362204722"/>
  <pageSetup paperSize="9" fitToHeight="0" orientation="landscape" horizontalDpi="4294967293" verticalDpi="4294967293" r:id="rId5"/>
  <headerFooter alignWithMargins="0">
    <oddHeader>&amp;C&amp;"ＭＳ Ｐ明朝,太字"&amp;14⑬　在庫商品目録</oddHeader>
    <oddFooter>&amp;C&amp;P&amp;R&amp;"ＭＳ Ｐ明朝,標準"ver.4.0</oddFooter>
  </headerFooter>
  <colBreaks count="7" manualBreakCount="7">
    <brk id="8" max="1048575" man="1"/>
    <brk id="12" max="1048575" man="1"/>
    <brk id="13" max="1048575" man="1"/>
    <brk id="16" max="1048575" man="1"/>
    <brk id="18" max="1048575" man="1"/>
    <brk id="23" max="1048575" man="1"/>
    <brk id="2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pageSetUpPr fitToPage="1"/>
  </sheetPr>
  <dimension ref="A1:H10"/>
  <sheetViews>
    <sheetView showGridLines="0"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8.875" style="2" customWidth="1"/>
    <col min="3" max="3" width="5.625" style="2" bestFit="1" customWidth="1"/>
    <col min="4" max="4" width="29.375" style="2" customWidth="1"/>
    <col min="5" max="6" width="16" style="11" customWidth="1"/>
    <col min="7" max="7" width="35.125" style="6" customWidth="1"/>
    <col min="8" max="8" width="9.875" style="2" customWidth="1"/>
    <col min="9" max="16384" width="27" style="6"/>
  </cols>
  <sheetData>
    <row r="1" spans="1:8" s="46" customFormat="1" ht="52.5" customHeight="1" thickBot="1">
      <c r="A1" s="69" t="s">
        <v>54</v>
      </c>
      <c r="B1" s="70" t="s">
        <v>33</v>
      </c>
      <c r="C1" s="70" t="s">
        <v>32</v>
      </c>
      <c r="D1" s="69" t="s">
        <v>30</v>
      </c>
      <c r="E1" s="107" t="s">
        <v>61</v>
      </c>
      <c r="F1" s="107" t="s">
        <v>40</v>
      </c>
      <c r="G1" s="69" t="s">
        <v>18</v>
      </c>
      <c r="H1" s="70" t="s">
        <v>57</v>
      </c>
    </row>
    <row r="2" spans="1:8" ht="45" customHeight="1" thickTop="1">
      <c r="A2" s="72">
        <v>1</v>
      </c>
      <c r="B2" s="226"/>
      <c r="C2" s="1"/>
      <c r="D2" s="226"/>
      <c r="E2" s="21"/>
      <c r="F2" s="21"/>
      <c r="G2" s="226"/>
      <c r="H2" s="72" t="s">
        <v>56</v>
      </c>
    </row>
    <row r="3" spans="1:8" ht="45" customHeight="1">
      <c r="A3" s="75">
        <v>2</v>
      </c>
      <c r="B3" s="108"/>
      <c r="C3" s="75"/>
      <c r="D3" s="108"/>
      <c r="E3" s="182"/>
      <c r="F3" s="106"/>
      <c r="G3" s="169"/>
      <c r="H3" s="75" t="s">
        <v>56</v>
      </c>
    </row>
    <row r="4" spans="1:8" ht="45" customHeight="1">
      <c r="A4" s="75">
        <v>3</v>
      </c>
      <c r="B4" s="108"/>
      <c r="C4" s="75"/>
      <c r="D4" s="108"/>
      <c r="E4" s="182"/>
      <c r="F4" s="106"/>
      <c r="G4" s="108"/>
      <c r="H4" s="75" t="s">
        <v>56</v>
      </c>
    </row>
    <row r="5" spans="1:8" ht="45" customHeight="1">
      <c r="A5" s="75">
        <v>4</v>
      </c>
      <c r="B5" s="108"/>
      <c r="C5" s="75"/>
      <c r="D5" s="108"/>
      <c r="E5" s="182"/>
      <c r="F5" s="106"/>
      <c r="G5" s="108"/>
      <c r="H5" s="75" t="s">
        <v>56</v>
      </c>
    </row>
    <row r="6" spans="1:8" ht="45" customHeight="1">
      <c r="A6" s="75">
        <v>5</v>
      </c>
      <c r="B6" s="108"/>
      <c r="C6" s="75"/>
      <c r="D6" s="109"/>
      <c r="E6" s="182"/>
      <c r="F6" s="106"/>
      <c r="G6" s="108"/>
      <c r="H6" s="75" t="s">
        <v>56</v>
      </c>
    </row>
    <row r="7" spans="1:8" ht="45" customHeight="1">
      <c r="A7" s="75">
        <v>6</v>
      </c>
      <c r="B7" s="108"/>
      <c r="C7" s="75"/>
      <c r="D7" s="108"/>
      <c r="E7" s="182"/>
      <c r="F7" s="106"/>
      <c r="G7" s="108"/>
      <c r="H7" s="75" t="s">
        <v>56</v>
      </c>
    </row>
    <row r="8" spans="1:8" ht="45" customHeight="1">
      <c r="A8" s="75">
        <v>7</v>
      </c>
      <c r="B8" s="177"/>
      <c r="C8" s="162"/>
      <c r="D8" s="177"/>
      <c r="E8" s="199"/>
      <c r="F8" s="106"/>
      <c r="G8" s="177"/>
      <c r="H8" s="75" t="s">
        <v>56</v>
      </c>
    </row>
    <row r="9" spans="1:8" ht="45" customHeight="1">
      <c r="A9" s="75">
        <v>8</v>
      </c>
      <c r="B9" s="108"/>
      <c r="C9" s="75"/>
      <c r="D9" s="177"/>
      <c r="E9" s="199"/>
      <c r="F9" s="106"/>
      <c r="G9" s="108"/>
      <c r="H9" s="75" t="s">
        <v>56</v>
      </c>
    </row>
    <row r="10" spans="1:8" ht="45" customHeight="1">
      <c r="A10" s="81"/>
      <c r="B10" s="81"/>
      <c r="C10" s="81"/>
      <c r="D10" s="75" t="s">
        <v>69</v>
      </c>
      <c r="E10" s="76">
        <f>SUM(E2:E9)</f>
        <v>0</v>
      </c>
      <c r="F10" s="76">
        <f>SUM(F2:F9)</f>
        <v>0</v>
      </c>
      <c r="G10" s="103"/>
      <c r="H10" s="76">
        <f t="array" ref="H10">SUM(F2:F9*IF(H2:H9="■",1,0))</f>
        <v>0</v>
      </c>
    </row>
  </sheetData>
  <customSheetViews>
    <customSheetView guid="{2ED08BFB-32F2-40DC-9FA0-3D6DF2CD2658}" scale="75" showPageBreaks="1" showGridLines="0" fitToPage="1">
      <pane xSplit="2" ySplit="1" topLeftCell="C2" activePane="bottomRight" state="frozen"/>
      <selection pane="bottomRight" activeCell="G2" sqref="G2:G9"/>
      <pageMargins left="0.78740157480314965" right="0.78740157480314965" top="1.5748031496062993" bottom="0.78740157480314965" header="1.1811023622047245" footer="0.51181102362204722"/>
      <pageSetup paperSize="9" scale="90" fitToHeight="0" orientation="landscape" horizontalDpi="4294967293" verticalDpi="4294967293" r:id="rId1"/>
      <headerFooter alignWithMargins="0">
        <oddHeader>&amp;C&amp;"ＭＳ Ｐ明朝,太字"&amp;14⑮　機械・工具類目録</oddHeader>
        <oddFooter>&amp;R&amp;"ＭＳ Ｐ明朝,標準"ver.3.0</oddFooter>
      </headerFooter>
    </customSheetView>
    <customSheetView guid="{EDE077E3-93A2-422C-951E-2814F2FB5724}" scale="75" showPageBreaks="1" showGridLines="0" fitToPage="1">
      <pane xSplit="2" ySplit="1" topLeftCell="C2" activePane="bottomRight" state="frozen"/>
      <selection pane="bottomRight" activeCell="G2" sqref="G2:G9"/>
      <pageMargins left="0.78740157480314965" right="0.78740157480314965" top="1.5748031496062993" bottom="0.78740157480314965" header="1.1811023622047245" footer="0.51181102362204722"/>
      <pageSetup paperSize="9" scale="90" orientation="landscape" horizontalDpi="4294967293" verticalDpi="4294967293" r:id="rId2"/>
      <headerFooter alignWithMargins="0">
        <oddHeader>&amp;C&amp;"ＭＳ Ｐ明朝,太字"&amp;14⑮　機械・工具類目録</oddHeader>
        <oddFooter>&amp;R&amp;"ＭＳ Ｐ明朝,標準"ver.3.0</oddFooter>
      </headerFooter>
    </customSheetView>
    <customSheetView guid="{348C0A88-2D6B-48B4-929A-E6B77EACA73D}" scale="75" showPageBreaks="1" showGridLines="0" fitToPage="1">
      <pane xSplit="2" ySplit="1" topLeftCell="C2" activePane="bottomRight" state="frozen"/>
      <selection pane="bottomRight" activeCell="F8" sqref="F8"/>
      <pageMargins left="0.78740157480314965" right="0.78740157480314965" top="1.5748031496062993" bottom="0.78740157480314965" header="1.1811023622047245" footer="0.51181102362204722"/>
      <pageSetup paperSize="9" scale="90" fitToHeight="0" orientation="landscape" horizontalDpi="4294967293" verticalDpi="4294967293" r:id="rId3"/>
      <headerFooter alignWithMargins="0">
        <oddHeader>&amp;C&amp;"ＭＳ Ｐ明朝,太字"&amp;14⑮　機械・工具類目録</oddHeader>
        <oddFooter>&amp;R&amp;"ＭＳ Ｐ明朝,標準"ver.4.0</oddFooter>
      </headerFooter>
    </customSheetView>
    <customSheetView guid="{CB2864B2-4E22-42B2-A294-4D47309CF09D}" scale="75" showPageBreaks="1" showGridLines="0" fitToPage="1">
      <pane xSplit="2" ySplit="1" topLeftCell="C2" activePane="bottomRight" state="frozen"/>
      <selection pane="bottomRight" activeCell="I9" sqref="I9"/>
      <pageMargins left="0.78740157480314965" right="0.78740157480314965" top="1.5748031496062993" bottom="0.78740157480314965" header="1.1811023622047245" footer="0.51181102362204722"/>
      <pageSetup paperSize="9" scale="90" fitToHeight="0" orientation="landscape" horizontalDpi="4294967293" verticalDpi="4294967293" r:id="rId4"/>
      <headerFooter alignWithMargins="0">
        <oddHeader>&amp;C&amp;"ＭＳ Ｐ明朝,太字"&amp;14⑮　機械・工具類目録</oddHeader>
        <oddFooter>&amp;R&amp;"ＭＳ Ｐ明朝,標準"ver.3.0</oddFooter>
      </headerFooter>
    </customSheetView>
  </customSheetViews>
  <phoneticPr fontId="6"/>
  <conditionalFormatting sqref="F3:G9">
    <cfRule type="expression" dxfId="5" priority="2" stopIfTrue="1">
      <formula>ISBLANK(E3)</formula>
    </cfRule>
  </conditionalFormatting>
  <conditionalFormatting sqref="F2">
    <cfRule type="expression" dxfId="4" priority="1" stopIfTrue="1">
      <formula>ISBLANK($E2)</formula>
    </cfRule>
  </conditionalFormatting>
  <dataValidations count="2">
    <dataValidation imeMode="off" allowBlank="1" showInputMessage="1" showErrorMessage="1" sqref="I1:IV1048576 A1:A1048576 C1:C1048576 E1:F1048576" xr:uid="{00000000-0002-0000-0D00-000000000000}"/>
    <dataValidation imeMode="on" allowBlank="1" showInputMessage="1" showErrorMessage="1" sqref="B1:B1048576 D1:D1048576 G1:H1048576" xr:uid="{00000000-0002-0000-0D00-000001000000}"/>
  </dataValidations>
  <pageMargins left="0.78740157480314965" right="0.78740157480314965" top="1.5748031496062993" bottom="0.78740157480314965" header="1.1811023622047245" footer="0.51181102362204722"/>
  <pageSetup paperSize="9" scale="90" fitToHeight="0" orientation="landscape" horizontalDpi="4294967293" verticalDpi="4294967293" r:id="rId5"/>
  <headerFooter alignWithMargins="0">
    <oddHeader>&amp;C&amp;"ＭＳ Ｐ明朝,太字"&amp;14⑭　機械・工具類目録</oddHeader>
    <oddFooter>&amp;C&amp;P&amp;R&amp;"ＭＳ Ｐ明朝,標準"ver.4.0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pageSetUpPr fitToPage="1"/>
  </sheetPr>
  <dimension ref="A1:H10"/>
  <sheetViews>
    <sheetView showGridLines="0"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2" bestFit="1" customWidth="1"/>
    <col min="2" max="2" width="21.75" style="2" customWidth="1"/>
    <col min="3" max="3" width="7" style="2" customWidth="1"/>
    <col min="4" max="4" width="33.125" style="2" customWidth="1"/>
    <col min="5" max="6" width="16" style="11" customWidth="1"/>
    <col min="7" max="7" width="38" style="6" customWidth="1"/>
    <col min="8" max="8" width="9.875" style="2" customWidth="1"/>
    <col min="9" max="16384" width="27" style="6"/>
  </cols>
  <sheetData>
    <row r="1" spans="1:8" s="46" customFormat="1" ht="52.5" customHeight="1" thickBot="1">
      <c r="A1" s="69" t="s">
        <v>54</v>
      </c>
      <c r="B1" s="70" t="s">
        <v>31</v>
      </c>
      <c r="C1" s="70" t="s">
        <v>32</v>
      </c>
      <c r="D1" s="69" t="s">
        <v>30</v>
      </c>
      <c r="E1" s="107" t="s">
        <v>59</v>
      </c>
      <c r="F1" s="107" t="s">
        <v>44</v>
      </c>
      <c r="G1" s="69" t="s">
        <v>18</v>
      </c>
      <c r="H1" s="70" t="s">
        <v>57</v>
      </c>
    </row>
    <row r="2" spans="1:8" ht="45" customHeight="1" thickTop="1">
      <c r="A2" s="72">
        <v>1</v>
      </c>
      <c r="B2" s="226"/>
      <c r="C2" s="1"/>
      <c r="D2" s="226"/>
      <c r="E2" s="21"/>
      <c r="F2" s="21"/>
      <c r="G2" s="226"/>
      <c r="H2" s="72" t="s">
        <v>56</v>
      </c>
    </row>
    <row r="3" spans="1:8" ht="45" customHeight="1">
      <c r="A3" s="75">
        <v>2</v>
      </c>
      <c r="B3" s="108"/>
      <c r="C3" s="75"/>
      <c r="D3" s="108"/>
      <c r="E3" s="182"/>
      <c r="F3" s="106"/>
      <c r="G3" s="169"/>
      <c r="H3" s="75" t="s">
        <v>56</v>
      </c>
    </row>
    <row r="4" spans="1:8" ht="45" customHeight="1">
      <c r="A4" s="75">
        <v>3</v>
      </c>
      <c r="B4" s="108"/>
      <c r="C4" s="75"/>
      <c r="D4" s="108"/>
      <c r="E4" s="182"/>
      <c r="F4" s="106"/>
      <c r="G4" s="108"/>
      <c r="H4" s="75" t="s">
        <v>56</v>
      </c>
    </row>
    <row r="5" spans="1:8" ht="45" customHeight="1">
      <c r="A5" s="75">
        <v>4</v>
      </c>
      <c r="B5" s="108"/>
      <c r="C5" s="75"/>
      <c r="D5" s="108"/>
      <c r="E5" s="182"/>
      <c r="F5" s="106"/>
      <c r="G5" s="108"/>
      <c r="H5" s="75" t="s">
        <v>56</v>
      </c>
    </row>
    <row r="6" spans="1:8" ht="45" customHeight="1">
      <c r="A6" s="75">
        <v>5</v>
      </c>
      <c r="B6" s="108"/>
      <c r="C6" s="75"/>
      <c r="D6" s="109"/>
      <c r="E6" s="182"/>
      <c r="F6" s="106"/>
      <c r="G6" s="108"/>
      <c r="H6" s="75" t="s">
        <v>56</v>
      </c>
    </row>
    <row r="7" spans="1:8" ht="45" customHeight="1">
      <c r="A7" s="75">
        <v>6</v>
      </c>
      <c r="B7" s="177"/>
      <c r="C7" s="162"/>
      <c r="D7" s="177"/>
      <c r="E7" s="199"/>
      <c r="F7" s="106"/>
      <c r="G7" s="177"/>
      <c r="H7" s="75" t="s">
        <v>56</v>
      </c>
    </row>
    <row r="8" spans="1:8" ht="45" customHeight="1">
      <c r="A8" s="75">
        <v>7</v>
      </c>
      <c r="B8" s="177"/>
      <c r="C8" s="162"/>
      <c r="D8" s="177"/>
      <c r="E8" s="199"/>
      <c r="F8" s="106"/>
      <c r="G8" s="177"/>
      <c r="H8" s="75" t="s">
        <v>56</v>
      </c>
    </row>
    <row r="9" spans="1:8" ht="45" customHeight="1">
      <c r="A9" s="75">
        <v>8</v>
      </c>
      <c r="B9" s="108"/>
      <c r="C9" s="75"/>
      <c r="D9" s="108"/>
      <c r="E9" s="199"/>
      <c r="F9" s="106"/>
      <c r="G9" s="108"/>
      <c r="H9" s="75" t="s">
        <v>56</v>
      </c>
    </row>
    <row r="10" spans="1:8" ht="45" customHeight="1">
      <c r="A10" s="81"/>
      <c r="B10" s="81"/>
      <c r="C10" s="81"/>
      <c r="D10" s="72" t="s">
        <v>69</v>
      </c>
      <c r="E10" s="76">
        <f>SUM(E2:E9)</f>
        <v>0</v>
      </c>
      <c r="F10" s="76">
        <f>SUM(F2:F9)</f>
        <v>0</v>
      </c>
      <c r="G10" s="103"/>
      <c r="H10" s="76">
        <f t="array" ref="H10">SUM(F2:F9*IF(H2:H9="■",1,0))</f>
        <v>0</v>
      </c>
    </row>
  </sheetData>
  <customSheetViews>
    <customSheetView guid="{2ED08BFB-32F2-40DC-9FA0-3D6DF2CD2658}" scale="75" showPageBreaks="1" showGridLines="0" fitToPage="1">
      <pane xSplit="2" ySplit="1" topLeftCell="C2" activePane="bottomRight" state="frozen"/>
      <selection pane="bottomRight" activeCell="G2" sqref="G2:G9"/>
      <colBreaks count="4" manualBreakCount="4">
        <brk id="8" max="1048575" man="1"/>
        <brk id="13" max="1048575" man="1"/>
        <brk id="18" max="1048575" man="1"/>
        <brk id="23" max="1048575" man="1"/>
      </colBreaks>
      <pageMargins left="0.78740157480314965" right="0.78740157480314965" top="1.5748031496062993" bottom="0.78740157480314965" header="1.1811023622047245" footer="0.51181102362204722"/>
      <pageSetup paperSize="9" scale="89" fitToHeight="0" orientation="landscape" horizontalDpi="4294967293" verticalDpi="4294967293" r:id="rId1"/>
      <headerFooter alignWithMargins="0">
        <oddHeader>&amp;C&amp;"ＭＳ Ｐ明朝,太字"&amp;14⑯　什器備品目録</oddHeader>
        <oddFooter>&amp;R&amp;"ＭＳ Ｐ明朝,標準"ver.3.0</oddFooter>
      </headerFooter>
    </customSheetView>
    <customSheetView guid="{EDE077E3-93A2-422C-951E-2814F2FB5724}" scale="75" showPageBreaks="1" showGridLines="0" fitToPage="1">
      <pane xSplit="2" ySplit="1" topLeftCell="C2" activePane="bottomRight" state="frozen"/>
      <selection pane="bottomRight" activeCell="G2" sqref="G2:G9"/>
      <colBreaks count="3" manualBreakCount="3">
        <brk id="8" max="1048575" man="1"/>
        <brk id="13" max="1048575" man="1"/>
        <brk id="18" max="1048575" man="1"/>
      </colBreaks>
      <pageMargins left="0.78740157480314965" right="0.78740157480314965" top="1.5748031496062993" bottom="0.78740157480314965" header="1.1811023622047245" footer="0.51181102362204722"/>
      <pageSetup paperSize="9" scale="90" orientation="landscape" horizontalDpi="4294967293" verticalDpi="4294967293" r:id="rId2"/>
      <headerFooter alignWithMargins="0">
        <oddHeader>&amp;C&amp;"ＭＳ Ｐ明朝,太字"&amp;14⑯　什器備品目録</oddHeader>
        <oddFooter>&amp;R&amp;"ＭＳ Ｐ明朝,標準"ver.3.0</oddFooter>
      </headerFooter>
    </customSheetView>
    <customSheetView guid="{348C0A88-2D6B-48B4-929A-E6B77EACA73D}" scale="75" showPageBreaks="1" showGridLines="0" fitToPage="1">
      <pane xSplit="2" ySplit="1" topLeftCell="C2" activePane="bottomRight" state="frozen"/>
      <selection pane="bottomRight" activeCell="F2" sqref="F2"/>
      <colBreaks count="4" manualBreakCount="4">
        <brk id="8" max="1048575" man="1"/>
        <brk id="13" max="1048575" man="1"/>
        <brk id="18" max="1048575" man="1"/>
        <brk id="23" max="1048575" man="1"/>
      </colBreaks>
      <pageMargins left="0.78740157480314965" right="0.78740157480314965" top="1.5748031496062993" bottom="0.78740157480314965" header="1.1811023622047245" footer="0.51181102362204722"/>
      <pageSetup paperSize="9" scale="90" fitToHeight="0" orientation="landscape" horizontalDpi="4294967293" verticalDpi="4294967293" r:id="rId3"/>
      <headerFooter alignWithMargins="0">
        <oddHeader>&amp;C&amp;"ＭＳ Ｐ明朝,太字"&amp;14⑯　什器備品目録</oddHeader>
        <oddFooter>&amp;R&amp;"ＭＳ Ｐ明朝,標準"ver.4.0</oddFooter>
      </headerFooter>
    </customSheetView>
    <customSheetView guid="{CB2864B2-4E22-42B2-A294-4D47309CF09D}" scale="75" showPageBreaks="1" showGridLines="0" fitToPage="1">
      <pane xSplit="2" ySplit="1" topLeftCell="C2" activePane="bottomRight" state="frozen"/>
      <selection pane="bottomRight" activeCell="G2" sqref="G2:G9"/>
      <colBreaks count="4" manualBreakCount="4">
        <brk id="8" max="1048575" man="1"/>
        <brk id="13" max="1048575" man="1"/>
        <brk id="18" max="1048575" man="1"/>
        <brk id="23" max="1048575" man="1"/>
      </colBreaks>
      <pageMargins left="0.78740157480314965" right="0.78740157480314965" top="1.5748031496062993" bottom="0.78740157480314965" header="1.1811023622047245" footer="0.51181102362204722"/>
      <pageSetup paperSize="9" scale="89" fitToHeight="0" orientation="landscape" horizontalDpi="4294967293" verticalDpi="4294967293" r:id="rId4"/>
      <headerFooter alignWithMargins="0">
        <oddHeader>&amp;C&amp;"ＭＳ Ｐ明朝,太字"&amp;14⑯　什器備品目録</oddHeader>
        <oddFooter>&amp;R&amp;"ＭＳ Ｐ明朝,標準"ver.3.0</oddFooter>
      </headerFooter>
    </customSheetView>
  </customSheetViews>
  <phoneticPr fontId="6"/>
  <conditionalFormatting sqref="F3:F10">
    <cfRule type="expression" dxfId="3" priority="2" stopIfTrue="1">
      <formula>ISBLANK(E3)</formula>
    </cfRule>
  </conditionalFormatting>
  <conditionalFormatting sqref="F2">
    <cfRule type="expression" dxfId="2" priority="1" stopIfTrue="1">
      <formula>ISBLANK($E2)</formula>
    </cfRule>
  </conditionalFormatting>
  <dataValidations count="2">
    <dataValidation imeMode="off" allowBlank="1" showInputMessage="1" showErrorMessage="1" sqref="I1:IV1048576 A1:A1048576 E1:F1048576 C1:C1048576" xr:uid="{00000000-0002-0000-0E00-000000000000}"/>
    <dataValidation imeMode="on" allowBlank="1" showInputMessage="1" showErrorMessage="1" sqref="B1:B1048576 D1:D1048576 G1:H1048576" xr:uid="{00000000-0002-0000-0E00-000001000000}"/>
  </dataValidations>
  <pageMargins left="0.78740157480314965" right="0.78740157480314965" top="1.5748031496062993" bottom="0.78740157480314965" header="1.1811023622047245" footer="0.51181102362204722"/>
  <pageSetup paperSize="9" scale="89" fitToHeight="0" orientation="landscape" horizontalDpi="4294967293" verticalDpi="4294967293" r:id="rId5"/>
  <headerFooter alignWithMargins="0">
    <oddHeader>&amp;C&amp;"ＭＳ Ｐ明朝,太字"&amp;14⑮　什器備品目録</oddHeader>
    <oddFooter>&amp;C&amp;P&amp;R&amp;"ＭＳ Ｐ明朝,標準"ver.4.0</oddFooter>
  </headerFooter>
  <colBreaks count="4" manualBreakCount="4">
    <brk id="8" max="1048575" man="1"/>
    <brk id="13" max="1048575" man="1"/>
    <brk id="18" max="1048575" man="1"/>
    <brk id="23"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pageSetUpPr fitToPage="1"/>
  </sheetPr>
  <dimension ref="A1:H10"/>
  <sheetViews>
    <sheetView showGridLines="0" zoomScale="75" zoomScaleNormal="75" workbookViewId="0">
      <pane xSplit="2" ySplit="1" topLeftCell="C2" activePane="bottomRight" state="frozen"/>
      <selection pane="topRight" activeCell="C1" sqref="C1"/>
      <selection pane="bottomLeft" activeCell="A2" sqref="A2"/>
      <selection pane="bottomRight" activeCell="B2" sqref="B2"/>
    </sheetView>
  </sheetViews>
  <sheetFormatPr defaultColWidth="27" defaultRowHeight="27" customHeight="1"/>
  <cols>
    <col min="1" max="1" width="4.625" style="81" bestFit="1" customWidth="1"/>
    <col min="2" max="2" width="21.75" style="81" customWidth="1"/>
    <col min="3" max="3" width="5.625" style="81" bestFit="1" customWidth="1"/>
    <col min="4" max="4" width="33.125" style="81" customWidth="1"/>
    <col min="5" max="5" width="16" style="164" customWidth="1"/>
    <col min="6" max="6" width="15.625" style="164" customWidth="1"/>
    <col min="7" max="7" width="38.375" style="103" customWidth="1"/>
    <col min="8" max="8" width="9.875" style="81" customWidth="1"/>
    <col min="9" max="16384" width="27" style="103"/>
  </cols>
  <sheetData>
    <row r="1" spans="1:8" s="163" customFormat="1" ht="52.5" customHeight="1" thickBot="1">
      <c r="A1" s="69" t="s">
        <v>102</v>
      </c>
      <c r="B1" s="70" t="s">
        <v>72</v>
      </c>
      <c r="C1" s="70" t="s">
        <v>45</v>
      </c>
      <c r="D1" s="69" t="s">
        <v>30</v>
      </c>
      <c r="E1" s="107" t="s">
        <v>59</v>
      </c>
      <c r="F1" s="107" t="s">
        <v>44</v>
      </c>
      <c r="G1" s="69" t="s">
        <v>18</v>
      </c>
      <c r="H1" s="70" t="s">
        <v>57</v>
      </c>
    </row>
    <row r="2" spans="1:8" ht="45" customHeight="1" thickTop="1">
      <c r="A2" s="72">
        <v>1</v>
      </c>
      <c r="B2" s="226"/>
      <c r="C2" s="1"/>
      <c r="D2" s="226"/>
      <c r="E2" s="21"/>
      <c r="F2" s="21"/>
      <c r="G2" s="226"/>
      <c r="H2" s="72" t="s">
        <v>56</v>
      </c>
    </row>
    <row r="3" spans="1:8" ht="45" customHeight="1">
      <c r="A3" s="75">
        <v>2</v>
      </c>
      <c r="B3" s="108"/>
      <c r="C3" s="75"/>
      <c r="D3" s="108"/>
      <c r="E3" s="182"/>
      <c r="F3" s="106"/>
      <c r="G3" s="169"/>
      <c r="H3" s="75" t="s">
        <v>56</v>
      </c>
    </row>
    <row r="4" spans="1:8" ht="45" customHeight="1">
      <c r="A4" s="75">
        <v>3</v>
      </c>
      <c r="B4" s="108"/>
      <c r="C4" s="75"/>
      <c r="D4" s="108"/>
      <c r="E4" s="182"/>
      <c r="F4" s="106"/>
      <c r="G4" s="108"/>
      <c r="H4" s="75" t="s">
        <v>56</v>
      </c>
    </row>
    <row r="5" spans="1:8" ht="45" customHeight="1">
      <c r="A5" s="75">
        <v>4</v>
      </c>
      <c r="B5" s="108"/>
      <c r="C5" s="75"/>
      <c r="D5" s="108"/>
      <c r="E5" s="182"/>
      <c r="F5" s="106"/>
      <c r="G5" s="108"/>
      <c r="H5" s="75" t="s">
        <v>56</v>
      </c>
    </row>
    <row r="6" spans="1:8" ht="45" customHeight="1">
      <c r="A6" s="75">
        <v>5</v>
      </c>
      <c r="B6" s="108"/>
      <c r="C6" s="75"/>
      <c r="D6" s="109"/>
      <c r="E6" s="182"/>
      <c r="F6" s="106"/>
      <c r="G6" s="108"/>
      <c r="H6" s="75" t="s">
        <v>56</v>
      </c>
    </row>
    <row r="7" spans="1:8" ht="45" customHeight="1">
      <c r="A7" s="75">
        <v>6</v>
      </c>
      <c r="B7" s="177"/>
      <c r="C7" s="162"/>
      <c r="D7" s="177"/>
      <c r="E7" s="199"/>
      <c r="F7" s="106"/>
      <c r="G7" s="177"/>
      <c r="H7" s="75" t="s">
        <v>56</v>
      </c>
    </row>
    <row r="8" spans="1:8" ht="45" customHeight="1">
      <c r="A8" s="75">
        <v>7</v>
      </c>
      <c r="B8" s="177"/>
      <c r="C8" s="162"/>
      <c r="D8" s="177"/>
      <c r="E8" s="199"/>
      <c r="F8" s="106"/>
      <c r="G8" s="177"/>
      <c r="H8" s="75" t="s">
        <v>56</v>
      </c>
    </row>
    <row r="9" spans="1:8" ht="45" customHeight="1">
      <c r="A9" s="75">
        <v>8</v>
      </c>
      <c r="B9" s="108"/>
      <c r="C9" s="75"/>
      <c r="D9" s="177"/>
      <c r="E9" s="199"/>
      <c r="F9" s="106"/>
      <c r="G9" s="108"/>
      <c r="H9" s="75" t="s">
        <v>56</v>
      </c>
    </row>
    <row r="10" spans="1:8" ht="45" customHeight="1">
      <c r="D10" s="75" t="s">
        <v>69</v>
      </c>
      <c r="E10" s="76">
        <f>SUM(E2:E9)</f>
        <v>0</v>
      </c>
      <c r="F10" s="76">
        <f>SUM(F2:F9)</f>
        <v>0</v>
      </c>
      <c r="H10" s="76">
        <f t="array" ref="H10">SUM(F2:F9*IF(H2:H9="■",1,0))</f>
        <v>0</v>
      </c>
    </row>
  </sheetData>
  <customSheetViews>
    <customSheetView guid="{2ED08BFB-32F2-40DC-9FA0-3D6DF2CD2658}" scale="75" showPageBreaks="1" showGridLines="0" fitToPage="1">
      <pane xSplit="2" ySplit="1" topLeftCell="C2" activePane="bottomRight" state="frozen"/>
      <selection pane="bottomRight" activeCell="E4" sqref="E4"/>
      <colBreaks count="4" manualBreakCount="4">
        <brk id="8" max="1048575" man="1"/>
        <brk id="13" max="1048575" man="1"/>
        <brk id="18" max="1048575" man="1"/>
        <brk id="23" max="1048575" man="1"/>
      </colBreaks>
      <pageMargins left="0.78740157480314965" right="0.78740157480314965" top="1.5748031496062993" bottom="0.78740157480314965" header="1.1811023622047245" footer="0.51181102362204722"/>
      <pageSetup paperSize="9" scale="90" fitToHeight="0" orientation="landscape" horizontalDpi="4294967293" verticalDpi="4294967293" r:id="rId1"/>
      <headerFooter alignWithMargins="0">
        <oddHeader>&amp;C&amp;"ＭＳ Ｐ明朝,太字"&amp;14⑰　その他の財産目録</oddHeader>
        <oddFooter>&amp;R&amp;"ＭＳ Ｐ明朝,標準"ver.3.0</oddFooter>
      </headerFooter>
    </customSheetView>
    <customSheetView guid="{EDE077E3-93A2-422C-951E-2814F2FB5724}" scale="75" showPageBreaks="1" showGridLines="0" fitToPage="1">
      <pane xSplit="2" ySplit="1" topLeftCell="C2" activePane="bottomRight" state="frozen"/>
      <selection pane="bottomRight" activeCell="G2" sqref="G2:G9"/>
      <colBreaks count="3" manualBreakCount="3">
        <brk id="8" max="1048575" man="1"/>
        <brk id="13" max="1048575" man="1"/>
        <brk id="18" max="1048575" man="1"/>
      </colBreaks>
      <pageMargins left="0.78740157480314965" right="0.78740157480314965" top="1.5748031496062993" bottom="0.78740157480314965" header="1.1811023622047245" footer="0.51181102362204722"/>
      <pageSetup paperSize="9" scale="90" orientation="landscape" horizontalDpi="4294967293" verticalDpi="4294967293" r:id="rId2"/>
      <headerFooter alignWithMargins="0">
        <oddHeader>&amp;C&amp;"ＭＳ Ｐ明朝,太字"&amp;14⑰　その他の財産目録</oddHeader>
        <oddFooter>&amp;R&amp;"ＭＳ Ｐ明朝,標準"ver.3.0</oddFooter>
      </headerFooter>
    </customSheetView>
    <customSheetView guid="{348C0A88-2D6B-48B4-929A-E6B77EACA73D}" scale="75" showPageBreaks="1" showGridLines="0" fitToPage="1">
      <pane xSplit="2" ySplit="1" topLeftCell="C2" activePane="bottomRight" state="frozen"/>
      <selection pane="bottomRight" activeCell="E4" sqref="E4"/>
      <colBreaks count="4" manualBreakCount="4">
        <brk id="8" max="1048575" man="1"/>
        <brk id="13" max="1048575" man="1"/>
        <brk id="18" max="1048575" man="1"/>
        <brk id="23" max="1048575" man="1"/>
      </colBreaks>
      <pageMargins left="0.78740157480314965" right="0.78740157480314965" top="1.5748031496062993" bottom="0.78740157480314965" header="1.1811023622047245" footer="0.51181102362204722"/>
      <pageSetup paperSize="9" scale="90" fitToHeight="0" orientation="landscape" horizontalDpi="4294967293" verticalDpi="4294967293" r:id="rId3"/>
      <headerFooter alignWithMargins="0">
        <oddHeader>&amp;C&amp;"ＭＳ Ｐ明朝,太字"&amp;14⑰　その他の財産目録</oddHeader>
        <oddFooter>&amp;R&amp;"ＭＳ Ｐ明朝,標準"ver.4.0</oddFooter>
      </headerFooter>
    </customSheetView>
    <customSheetView guid="{CB2864B2-4E22-42B2-A294-4D47309CF09D}" scale="75" showPageBreaks="1" showGridLines="0" fitToPage="1">
      <pane xSplit="2" ySplit="1" topLeftCell="C2" activePane="bottomRight" state="frozen"/>
      <selection pane="bottomRight" activeCell="E4" sqref="E4"/>
      <colBreaks count="4" manualBreakCount="4">
        <brk id="8" max="1048575" man="1"/>
        <brk id="13" max="1048575" man="1"/>
        <brk id="18" max="1048575" man="1"/>
        <brk id="23" max="1048575" man="1"/>
      </colBreaks>
      <pageMargins left="0.78740157480314965" right="0.78740157480314965" top="1.5748031496062993" bottom="0.78740157480314965" header="1.1811023622047245" footer="0.51181102362204722"/>
      <pageSetup paperSize="9" scale="90" fitToHeight="0" orientation="landscape" horizontalDpi="4294967293" verticalDpi="4294967293" r:id="rId4"/>
      <headerFooter alignWithMargins="0">
        <oddHeader>&amp;C&amp;"ＭＳ Ｐ明朝,太字"&amp;14⑰　その他の財産目録</oddHeader>
        <oddFooter>&amp;R&amp;"ＭＳ Ｐ明朝,標準"ver.3.0</oddFooter>
      </headerFooter>
    </customSheetView>
  </customSheetViews>
  <phoneticPr fontId="6"/>
  <conditionalFormatting sqref="F3:F9">
    <cfRule type="expression" dxfId="1" priority="2" stopIfTrue="1">
      <formula>ISBLANK(E3)</formula>
    </cfRule>
  </conditionalFormatting>
  <conditionalFormatting sqref="F2">
    <cfRule type="expression" dxfId="0" priority="1" stopIfTrue="1">
      <formula>ISBLANK($E2)</formula>
    </cfRule>
  </conditionalFormatting>
  <dataValidations count="2">
    <dataValidation imeMode="off" allowBlank="1" showInputMessage="1" showErrorMessage="1" sqref="I1:IV1048576 A1:A1048576 E1:F1048576 C1:C1048576" xr:uid="{00000000-0002-0000-0F00-000000000000}"/>
    <dataValidation imeMode="on" allowBlank="1" showInputMessage="1" showErrorMessage="1" sqref="B1:B1048576 D1:D1048576 G1:H1048576" xr:uid="{00000000-0002-0000-0F00-000001000000}"/>
  </dataValidations>
  <pageMargins left="0.78740157480314965" right="0.78740157480314965" top="1.5748031496062993" bottom="0.78740157480314965" header="1.1811023622047245" footer="0.51181102362204722"/>
  <pageSetup paperSize="9" scale="90" fitToHeight="0" orientation="landscape" horizontalDpi="4294967293" verticalDpi="4294967293" r:id="rId5"/>
  <headerFooter alignWithMargins="0">
    <oddHeader>&amp;C&amp;"ＭＳ Ｐ明朝,太字"&amp;14⑯　その他の財産目録</oddHeader>
    <oddFooter>&amp;C&amp;P&amp;R&amp;"ＭＳ Ｐ明朝,標準"ver.4.0</oddFooter>
  </headerFooter>
  <colBreaks count="4" manualBreakCount="4">
    <brk id="8" max="1048575" man="1"/>
    <brk id="13" max="1048575" man="1"/>
    <brk id="18" max="1048575" man="1"/>
    <brk id="23"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1">
    <pageSetUpPr fitToPage="1"/>
  </sheetPr>
  <dimension ref="A1:I19"/>
  <sheetViews>
    <sheetView showGridLines="0" zoomScale="75" zoomScaleNormal="75" zoomScaleSheetLayoutView="85" workbookViewId="0">
      <selection activeCell="B5" sqref="B5"/>
    </sheetView>
  </sheetViews>
  <sheetFormatPr defaultRowHeight="24" customHeight="1"/>
  <cols>
    <col min="1" max="1" width="5.25" style="34" bestFit="1" customWidth="1"/>
    <col min="2" max="2" width="32.75" style="34" customWidth="1"/>
    <col min="3" max="4" width="5" style="56" customWidth="1"/>
    <col min="5" max="5" width="16.75" style="40" customWidth="1"/>
    <col min="6" max="6" width="15.625" style="41" bestFit="1" customWidth="1"/>
    <col min="7" max="7" width="45.625" style="42" bestFit="1" customWidth="1"/>
    <col min="8" max="8" width="7.375" style="56" customWidth="1"/>
    <col min="9" max="9" width="8.375" style="35" customWidth="1"/>
    <col min="10" max="10" width="7.625" style="34" customWidth="1"/>
    <col min="11" max="11" width="5.875" style="34" customWidth="1"/>
    <col min="12" max="12" width="6.25" style="34" customWidth="1"/>
    <col min="13" max="16384" width="9" style="34"/>
  </cols>
  <sheetData>
    <row r="1" spans="1:9" ht="21.75" customHeight="1">
      <c r="A1" s="53" t="s">
        <v>71</v>
      </c>
      <c r="B1" s="244" t="s">
        <v>74</v>
      </c>
      <c r="C1" s="244"/>
      <c r="D1" s="244"/>
      <c r="E1" s="244"/>
      <c r="F1" s="244"/>
      <c r="G1" s="244"/>
      <c r="H1" s="244"/>
    </row>
    <row r="2" spans="1:9" ht="21" customHeight="1">
      <c r="A2" s="53" t="s">
        <v>71</v>
      </c>
      <c r="B2" s="244" t="s">
        <v>75</v>
      </c>
      <c r="C2" s="244"/>
      <c r="D2" s="244"/>
      <c r="E2" s="244"/>
      <c r="F2" s="244"/>
      <c r="G2" s="244"/>
      <c r="H2" s="244"/>
    </row>
    <row r="3" spans="1:9" ht="61.5" customHeight="1">
      <c r="A3" s="54" t="s">
        <v>71</v>
      </c>
      <c r="B3" s="245" t="s">
        <v>127</v>
      </c>
      <c r="C3" s="245"/>
      <c r="D3" s="245"/>
      <c r="E3" s="245"/>
      <c r="F3" s="245"/>
      <c r="G3" s="245"/>
      <c r="H3" s="245"/>
    </row>
    <row r="4" spans="1:9" s="36" customFormat="1" ht="45" customHeight="1" thickBot="1">
      <c r="A4" s="48" t="s">
        <v>47</v>
      </c>
      <c r="B4" s="48" t="s">
        <v>73</v>
      </c>
      <c r="C4" s="55" t="s">
        <v>78</v>
      </c>
      <c r="D4" s="55" t="s">
        <v>77</v>
      </c>
      <c r="E4" s="49" t="s">
        <v>110</v>
      </c>
      <c r="F4" s="50" t="s">
        <v>48</v>
      </c>
      <c r="G4" s="51" t="s">
        <v>76</v>
      </c>
      <c r="H4" s="55" t="s">
        <v>112</v>
      </c>
    </row>
    <row r="5" spans="1:9" s="36" customFormat="1" ht="45" customHeight="1" thickTop="1">
      <c r="A5" s="37">
        <v>1</v>
      </c>
      <c r="B5" s="234"/>
      <c r="C5" s="203" t="s">
        <v>118</v>
      </c>
      <c r="D5" s="203" t="s">
        <v>128</v>
      </c>
      <c r="E5" s="228"/>
      <c r="F5" s="200"/>
      <c r="G5" s="229"/>
      <c r="H5" s="203" t="s">
        <v>56</v>
      </c>
    </row>
    <row r="6" spans="1:9" s="36" customFormat="1" ht="45" customHeight="1">
      <c r="A6" s="38">
        <v>2</v>
      </c>
      <c r="B6" s="234"/>
      <c r="C6" s="203" t="s">
        <v>118</v>
      </c>
      <c r="D6" s="203" t="s">
        <v>56</v>
      </c>
      <c r="E6" s="228"/>
      <c r="F6" s="200"/>
      <c r="G6" s="229"/>
      <c r="H6" s="203" t="s">
        <v>56</v>
      </c>
    </row>
    <row r="7" spans="1:9" ht="45" customHeight="1">
      <c r="A7" s="38">
        <v>3</v>
      </c>
      <c r="B7" s="234"/>
      <c r="C7" s="203" t="s">
        <v>56</v>
      </c>
      <c r="D7" s="203" t="s">
        <v>56</v>
      </c>
      <c r="E7" s="228"/>
      <c r="F7" s="200"/>
      <c r="G7" s="229"/>
      <c r="H7" s="203" t="s">
        <v>56</v>
      </c>
      <c r="I7" s="34"/>
    </row>
    <row r="8" spans="1:9" ht="45" customHeight="1">
      <c r="A8" s="38">
        <v>4</v>
      </c>
      <c r="B8" s="234"/>
      <c r="C8" s="203" t="s">
        <v>56</v>
      </c>
      <c r="D8" s="203" t="s">
        <v>56</v>
      </c>
      <c r="E8" s="228"/>
      <c r="F8" s="200"/>
      <c r="G8" s="229"/>
      <c r="H8" s="203" t="s">
        <v>56</v>
      </c>
      <c r="I8" s="34"/>
    </row>
    <row r="9" spans="1:9" ht="45" customHeight="1">
      <c r="A9" s="38">
        <v>5</v>
      </c>
      <c r="B9" s="234"/>
      <c r="C9" s="203" t="s">
        <v>56</v>
      </c>
      <c r="D9" s="203" t="s">
        <v>56</v>
      </c>
      <c r="E9" s="228"/>
      <c r="F9" s="200"/>
      <c r="G9" s="229"/>
      <c r="H9" s="203" t="s">
        <v>56</v>
      </c>
      <c r="I9" s="34"/>
    </row>
    <row r="10" spans="1:9" ht="45" customHeight="1">
      <c r="A10" s="38">
        <v>6</v>
      </c>
      <c r="B10" s="235"/>
      <c r="C10" s="203" t="s">
        <v>56</v>
      </c>
      <c r="D10" s="203" t="s">
        <v>56</v>
      </c>
      <c r="E10" s="228"/>
      <c r="F10" s="201"/>
      <c r="G10" s="229"/>
      <c r="H10" s="203" t="s">
        <v>56</v>
      </c>
      <c r="I10" s="34"/>
    </row>
    <row r="11" spans="1:9" ht="45" customHeight="1">
      <c r="A11" s="38">
        <v>7</v>
      </c>
      <c r="B11" s="235"/>
      <c r="C11" s="203" t="s">
        <v>56</v>
      </c>
      <c r="D11" s="203" t="s">
        <v>56</v>
      </c>
      <c r="E11" s="228"/>
      <c r="F11" s="201"/>
      <c r="G11" s="229"/>
      <c r="H11" s="203" t="s">
        <v>56</v>
      </c>
      <c r="I11" s="34"/>
    </row>
    <row r="12" spans="1:9" ht="24" customHeight="1">
      <c r="A12" s="39"/>
      <c r="B12" s="39"/>
    </row>
    <row r="13" spans="1:9" ht="24" customHeight="1">
      <c r="A13" s="39"/>
      <c r="B13" s="39"/>
    </row>
    <row r="14" spans="1:9" ht="24" customHeight="1">
      <c r="A14" s="39"/>
      <c r="B14" s="39"/>
    </row>
    <row r="15" spans="1:9" ht="24" customHeight="1">
      <c r="A15" s="39"/>
      <c r="B15" s="39"/>
    </row>
    <row r="16" spans="1:9" ht="24" customHeight="1">
      <c r="A16" s="39"/>
      <c r="B16" s="39"/>
    </row>
    <row r="17" spans="1:2" ht="24" customHeight="1">
      <c r="A17" s="39"/>
      <c r="B17" s="39"/>
    </row>
    <row r="18" spans="1:2" ht="24" customHeight="1">
      <c r="A18" s="39"/>
      <c r="B18" s="39"/>
    </row>
    <row r="19" spans="1:2" ht="24" customHeight="1">
      <c r="A19" s="39"/>
      <c r="B19" s="39"/>
    </row>
  </sheetData>
  <customSheetViews>
    <customSheetView guid="{2ED08BFB-32F2-40DC-9FA0-3D6DF2CD2658}" scale="75" showPageBreaks="1" showGridLines="0" fitToPage="1">
      <selection activeCell="C19" sqref="C19"/>
      <pageMargins left="0.78740157480314965" right="0.78740157480314965" top="1.5748031496062993" bottom="0.62" header="1.1811023622047245" footer="0.34"/>
      <printOptions horizontalCentered="1"/>
      <pageSetup paperSize="9" scale="98" fitToHeight="0" orientation="landscape" horizontalDpi="360" verticalDpi="360" r:id="rId1"/>
      <headerFooter alignWithMargins="0">
        <oddHeader>&amp;C&amp;"ＭＳ Ｐ明朝,太字"&amp;14⑱　処分済財産等一覧表</oddHeader>
        <oddFooter>&amp;R&amp;"ＭＳ Ｐ明朝,標準"ver.3.0</oddFooter>
      </headerFooter>
    </customSheetView>
    <customSheetView guid="{EDE077E3-93A2-422C-951E-2814F2FB5724}" scale="75" showPageBreaks="1" showGridLines="0" fitToPage="1">
      <selection activeCell="B3" sqref="B3:H3"/>
      <pageMargins left="0.78740157480314965" right="0.78740157480314965" top="1.5748031496062993" bottom="0.62" header="1.1811023622047245" footer="0.34"/>
      <printOptions horizontalCentered="1"/>
      <pageSetup paperSize="9" scale="86" orientation="landscape" r:id="rId2"/>
      <headerFooter alignWithMargins="0">
        <oddHeader>&amp;C&amp;"ＭＳ Ｐ明朝,太字"&amp;14⑱　処分済財産等一覧表</oddHeader>
        <oddFooter>&amp;R&amp;"ＭＳ Ｐ明朝,標準"ver.3.0</oddFooter>
      </headerFooter>
    </customSheetView>
    <customSheetView guid="{348C0A88-2D6B-48B4-929A-E6B77EACA73D}" scale="75" showPageBreaks="1" showGridLines="0" fitToPage="1">
      <selection activeCell="C19" sqref="C19"/>
      <pageMargins left="0.78740157480314965" right="0.78740157480314965" top="1.5748031496062993" bottom="0.62992125984251968" header="1.1811023622047245" footer="0.35433070866141736"/>
      <printOptions horizontalCentered="1"/>
      <pageSetup paperSize="9" scale="98" fitToHeight="0" orientation="landscape" horizontalDpi="360" verticalDpi="360" r:id="rId3"/>
      <headerFooter alignWithMargins="0">
        <oddHeader>&amp;C&amp;"ＭＳ Ｐ明朝,太字"&amp;14⑱　処分済財産等一覧表</oddHeader>
        <oddFooter>&amp;R&amp;"ＭＳ Ｐ明朝,標準"ver.4.0</oddFooter>
      </headerFooter>
    </customSheetView>
    <customSheetView guid="{CB2864B2-4E22-42B2-A294-4D47309CF09D}" scale="75" showPageBreaks="1" showGridLines="0" fitToPage="1">
      <selection activeCell="H5" sqref="H5"/>
      <pageMargins left="0.78740157480314965" right="0.78740157480314965" top="1.5748031496062993" bottom="0.62" header="1.1811023622047245" footer="0.34"/>
      <printOptions horizontalCentered="1"/>
      <pageSetup paperSize="9" scale="98" fitToHeight="0" orientation="landscape" horizontalDpi="360" verticalDpi="360" r:id="rId4"/>
      <headerFooter alignWithMargins="0">
        <oddHeader>&amp;C&amp;"ＭＳ Ｐ明朝,太字"&amp;14⑱　処分済財産等一覧表</oddHeader>
        <oddFooter>&amp;R&amp;"ＭＳ Ｐ明朝,標準"ver.3.0</oddFooter>
      </headerFooter>
    </customSheetView>
  </customSheetViews>
  <mergeCells count="3">
    <mergeCell ref="B2:H2"/>
    <mergeCell ref="B3:H3"/>
    <mergeCell ref="B1:H1"/>
  </mergeCells>
  <phoneticPr fontId="3"/>
  <dataValidations count="2">
    <dataValidation imeMode="on" allowBlank="1" showInputMessage="1" showErrorMessage="1" sqref="I1:IV1048576 B3:B65535 C4:D65535 G4:H65535" xr:uid="{00000000-0002-0000-1000-000000000000}"/>
    <dataValidation imeMode="off" allowBlank="1" showInputMessage="1" showErrorMessage="1" sqref="A1:A1048576 E4:F65535" xr:uid="{00000000-0002-0000-1000-000001000000}"/>
  </dataValidations>
  <printOptions horizontalCentered="1"/>
  <pageMargins left="0.78740157480314965" right="0.78740157480314965" top="1.5748031496062993" bottom="0.62992125984251968" header="1.1811023622047245" footer="0.35433070866141736"/>
  <pageSetup paperSize="9" scale="98" fitToHeight="0" orientation="landscape" horizontalDpi="360" verticalDpi="360" r:id="rId5"/>
  <headerFooter alignWithMargins="0">
    <oddHeader>&amp;C&amp;"ＭＳ Ｐ明朝,太字"&amp;14⑰　処分済財産等一覧表</oddHeader>
    <oddFooter>&amp;C&amp;P&amp;R&amp;"ＭＳ Ｐ明朝,標準"ver.4.0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17</vt:i4>
      </vt:variant>
    </vt:vector>
  </HeadingPairs>
  <TitlesOfParts>
    <vt:vector size="34" baseType="lpstr">
      <vt:lpstr>218_総括表</vt:lpstr>
      <vt:lpstr>219_預貯金・積立金</vt:lpstr>
      <vt:lpstr>220_保険</vt:lpstr>
      <vt:lpstr>221_自動車</vt:lpstr>
      <vt:lpstr>222_敷金</vt:lpstr>
      <vt:lpstr>223_退職金</vt:lpstr>
      <vt:lpstr>224_過払金</vt:lpstr>
      <vt:lpstr>225_不動産</vt:lpstr>
      <vt:lpstr>226_有価証券</vt:lpstr>
      <vt:lpstr>227_手形・小切手</vt:lpstr>
      <vt:lpstr>228_売掛金</vt:lpstr>
      <vt:lpstr>229_貸付金</vt:lpstr>
      <vt:lpstr>230_在庫商品</vt:lpstr>
      <vt:lpstr>231_機械・工具類</vt:lpstr>
      <vt:lpstr>232_什器備品</vt:lpstr>
      <vt:lpstr>233_その他</vt:lpstr>
      <vt:lpstr>234_処分済財産</vt:lpstr>
      <vt:lpstr>'224_過払金'!Print_Area</vt:lpstr>
      <vt:lpstr>'219_預貯金・積立金'!Print_Titles</vt:lpstr>
      <vt:lpstr>'220_保険'!Print_Titles</vt:lpstr>
      <vt:lpstr>'221_自動車'!Print_Titles</vt:lpstr>
      <vt:lpstr>'222_敷金'!Print_Titles</vt:lpstr>
      <vt:lpstr>'223_退職金'!Print_Titles</vt:lpstr>
      <vt:lpstr>'224_過払金'!Print_Titles</vt:lpstr>
      <vt:lpstr>'225_不動産'!Print_Titles</vt:lpstr>
      <vt:lpstr>'226_有価証券'!Print_Titles</vt:lpstr>
      <vt:lpstr>'227_手形・小切手'!Print_Titles</vt:lpstr>
      <vt:lpstr>'228_売掛金'!Print_Titles</vt:lpstr>
      <vt:lpstr>'229_貸付金'!Print_Titles</vt:lpstr>
      <vt:lpstr>'230_在庫商品'!Print_Titles</vt:lpstr>
      <vt:lpstr>'231_機械・工具類'!Print_Titles</vt:lpstr>
      <vt:lpstr>'232_什器備品'!Print_Titles</vt:lpstr>
      <vt:lpstr>'233_その他'!Print_Titles</vt:lpstr>
      <vt:lpstr>'234_処分済財産'!Print_Titles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cp:lastPrinted>2019-07-18T07:46:33Z</cp:lastPrinted>
  <dcterms:created xsi:type="dcterms:W3CDTF">2001-10-01T02:43:36Z</dcterms:created>
  <dcterms:modified xsi:type="dcterms:W3CDTF">2020-02-10T09:29:56Z</dcterms:modified>
  <cp:category>管財申立て</cp:category>
</cp:coreProperties>
</file>