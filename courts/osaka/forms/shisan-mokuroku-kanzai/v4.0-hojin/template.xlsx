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680" yWindow="-75" windowWidth="18555" windowHeight="11760" tabRatio="904"/>
  </bookViews>
  <sheets>
    <sheet name="116_総括表" sheetId="1" r:id="rId1"/>
    <sheet name="117 _預貯金" sheetId="2" r:id="rId2"/>
    <sheet name="118_手形・小切手" sheetId="3" r:id="rId3"/>
    <sheet name="119_売掛金" sheetId="4" r:id="rId4"/>
    <sheet name="120_在庫商品" sheetId="5" r:id="rId5"/>
    <sheet name="121_貸付金" sheetId="6" r:id="rId6"/>
    <sheet name="122_不動産" sheetId="7" r:id="rId7"/>
    <sheet name="123_機械・工具類" sheetId="8" r:id="rId8"/>
    <sheet name="124_什器備品" sheetId="9" r:id="rId9"/>
    <sheet name="125_自動車" sheetId="10" r:id="rId10"/>
    <sheet name="126_有価証券" sheetId="11" r:id="rId11"/>
    <sheet name="127_賃借保証金・敷金" sheetId="12" r:id="rId12"/>
    <sheet name="128_保険" sheetId="13" r:id="rId13"/>
    <sheet name="129_過払金" sheetId="14" r:id="rId14"/>
    <sheet name="130_その他" sheetId="15" r:id="rId15"/>
    <sheet name="131_処分済財産" sheetId="16" r:id="rId16"/>
  </sheets>
  <definedNames>
    <definedName name="_xlnm.Print_Titles" localSheetId="1">'117 _預貯金'!$1:$1</definedName>
    <definedName name="_xlnm.Print_Titles" localSheetId="2">'118_手形・小切手'!$1:$1</definedName>
    <definedName name="_xlnm.Print_Titles" localSheetId="3">'119_売掛金'!$1:$1</definedName>
    <definedName name="_xlnm.Print_Titles" localSheetId="4">'120_在庫商品'!$1:$1</definedName>
    <definedName name="_xlnm.Print_Titles" localSheetId="5">'121_貸付金'!$1:$1</definedName>
    <definedName name="_xlnm.Print_Titles" localSheetId="6">'122_不動産'!$1:$1</definedName>
    <definedName name="_xlnm.Print_Titles" localSheetId="7">'123_機械・工具類'!$1:$1</definedName>
    <definedName name="_xlnm.Print_Titles" localSheetId="8">'124_什器備品'!$1:$1</definedName>
    <definedName name="_xlnm.Print_Titles" localSheetId="9">'125_自動車'!$1:$1</definedName>
    <definedName name="_xlnm.Print_Titles" localSheetId="10">'126_有価証券'!$1:$1</definedName>
    <definedName name="_xlnm.Print_Titles" localSheetId="11">'127_賃借保証金・敷金'!$1:$1</definedName>
    <definedName name="_xlnm.Print_Titles" localSheetId="12">'128_保険'!$1:$1</definedName>
    <definedName name="_xlnm.Print_Titles" localSheetId="13">'129_過払金'!$1:$1</definedName>
    <definedName name="_xlnm.Print_Titles" localSheetId="14">'130_その他'!$1:$1</definedName>
    <definedName name="_xlnm.Print_Titles" localSheetId="15">'131_処分済財産'!$2:$2</definedName>
    <definedName name="Z_3B0C33F4_61B3_4DD1_861F_A18C21F5A24B_.wvu.Cols" localSheetId="0" hidden="1">'116_総括表'!$F:$F</definedName>
    <definedName name="Z_3B0C33F4_61B3_4DD1_861F_A18C21F5A24B_.wvu.PrintTitles" localSheetId="1" hidden="1">'117 _預貯金'!$1:$1</definedName>
    <definedName name="Z_3B0C33F4_61B3_4DD1_861F_A18C21F5A24B_.wvu.PrintTitles" localSheetId="2" hidden="1">'118_手形・小切手'!$1:$1</definedName>
    <definedName name="Z_3B0C33F4_61B3_4DD1_861F_A18C21F5A24B_.wvu.PrintTitles" localSheetId="3" hidden="1">'119_売掛金'!$1:$1</definedName>
    <definedName name="Z_3B0C33F4_61B3_4DD1_861F_A18C21F5A24B_.wvu.PrintTitles" localSheetId="4" hidden="1">'120_在庫商品'!$1:$1</definedName>
    <definedName name="Z_3B0C33F4_61B3_4DD1_861F_A18C21F5A24B_.wvu.PrintTitles" localSheetId="5" hidden="1">'121_貸付金'!$1:$1</definedName>
    <definedName name="Z_3B0C33F4_61B3_4DD1_861F_A18C21F5A24B_.wvu.PrintTitles" localSheetId="6" hidden="1">'122_不動産'!$1:$1</definedName>
    <definedName name="Z_3B0C33F4_61B3_4DD1_861F_A18C21F5A24B_.wvu.PrintTitles" localSheetId="7" hidden="1">'123_機械・工具類'!$1:$1</definedName>
    <definedName name="Z_3B0C33F4_61B3_4DD1_861F_A18C21F5A24B_.wvu.PrintTitles" localSheetId="8" hidden="1">'124_什器備品'!$1:$1</definedName>
    <definedName name="Z_3B0C33F4_61B3_4DD1_861F_A18C21F5A24B_.wvu.PrintTitles" localSheetId="9" hidden="1">'125_自動車'!$1:$1</definedName>
    <definedName name="Z_3B0C33F4_61B3_4DD1_861F_A18C21F5A24B_.wvu.PrintTitles" localSheetId="10" hidden="1">'126_有価証券'!$1:$1</definedName>
    <definedName name="Z_3B0C33F4_61B3_4DD1_861F_A18C21F5A24B_.wvu.PrintTitles" localSheetId="11" hidden="1">'127_賃借保証金・敷金'!$1:$1</definedName>
    <definedName name="Z_3B0C33F4_61B3_4DD1_861F_A18C21F5A24B_.wvu.PrintTitles" localSheetId="12" hidden="1">'128_保険'!$1:$1</definedName>
    <definedName name="Z_3B0C33F4_61B3_4DD1_861F_A18C21F5A24B_.wvu.PrintTitles" localSheetId="13" hidden="1">'129_過払金'!$1:$1</definedName>
    <definedName name="Z_3B0C33F4_61B3_4DD1_861F_A18C21F5A24B_.wvu.PrintTitles" localSheetId="14" hidden="1">'130_その他'!$1:$1</definedName>
    <definedName name="Z_3B0C33F4_61B3_4DD1_861F_A18C21F5A24B_.wvu.PrintTitles" localSheetId="15" hidden="1">'131_処分済財産'!$2:$2</definedName>
    <definedName name="Z_6F922FB1_F68A_46DE_A607_10E765F3DA60_.wvu.Cols" localSheetId="0" hidden="1">'116_総括表'!$F:$F</definedName>
    <definedName name="Z_6F922FB1_F68A_46DE_A607_10E765F3DA60_.wvu.PrintTitles" localSheetId="1" hidden="1">'117 _預貯金'!$1:$1</definedName>
    <definedName name="Z_6F922FB1_F68A_46DE_A607_10E765F3DA60_.wvu.PrintTitles" localSheetId="2" hidden="1">'118_手形・小切手'!$1:$1</definedName>
    <definedName name="Z_6F922FB1_F68A_46DE_A607_10E765F3DA60_.wvu.PrintTitles" localSheetId="3" hidden="1">'119_売掛金'!$1:$1</definedName>
    <definedName name="Z_6F922FB1_F68A_46DE_A607_10E765F3DA60_.wvu.PrintTitles" localSheetId="4" hidden="1">'120_在庫商品'!$1:$1</definedName>
    <definedName name="Z_6F922FB1_F68A_46DE_A607_10E765F3DA60_.wvu.PrintTitles" localSheetId="5" hidden="1">'121_貸付金'!$1:$1</definedName>
    <definedName name="Z_6F922FB1_F68A_46DE_A607_10E765F3DA60_.wvu.PrintTitles" localSheetId="6" hidden="1">'122_不動産'!$1:$1</definedName>
    <definedName name="Z_6F922FB1_F68A_46DE_A607_10E765F3DA60_.wvu.PrintTitles" localSheetId="7" hidden="1">'123_機械・工具類'!$1:$1</definedName>
    <definedName name="Z_6F922FB1_F68A_46DE_A607_10E765F3DA60_.wvu.PrintTitles" localSheetId="8" hidden="1">'124_什器備品'!$1:$1</definedName>
    <definedName name="Z_6F922FB1_F68A_46DE_A607_10E765F3DA60_.wvu.PrintTitles" localSheetId="9" hidden="1">'125_自動車'!$1:$1</definedName>
    <definedName name="Z_6F922FB1_F68A_46DE_A607_10E765F3DA60_.wvu.PrintTitles" localSheetId="10" hidden="1">'126_有価証券'!$1:$1</definedName>
    <definedName name="Z_6F922FB1_F68A_46DE_A607_10E765F3DA60_.wvu.PrintTitles" localSheetId="11" hidden="1">'127_賃借保証金・敷金'!$1:$1</definedName>
    <definedName name="Z_6F922FB1_F68A_46DE_A607_10E765F3DA60_.wvu.PrintTitles" localSheetId="12" hidden="1">'128_保険'!$1:$1</definedName>
    <definedName name="Z_6F922FB1_F68A_46DE_A607_10E765F3DA60_.wvu.PrintTitles" localSheetId="13" hidden="1">'129_過払金'!$1:$1</definedName>
    <definedName name="Z_6F922FB1_F68A_46DE_A607_10E765F3DA60_.wvu.PrintTitles" localSheetId="14" hidden="1">'130_その他'!$1:$1</definedName>
    <definedName name="Z_6F922FB1_F68A_46DE_A607_10E765F3DA60_.wvu.PrintTitles" localSheetId="15" hidden="1">'131_処分済財産'!$2:$2</definedName>
    <definedName name="Z_A40A9BDD_82B7_45A5_8C28_2E6774722F71_.wvu.Cols" localSheetId="0" hidden="1">'116_総括表'!$F:$F</definedName>
    <definedName name="Z_A40A9BDD_82B7_45A5_8C28_2E6774722F71_.wvu.PrintTitles" localSheetId="1" hidden="1">'117 _預貯金'!$1:$1</definedName>
    <definedName name="Z_A40A9BDD_82B7_45A5_8C28_2E6774722F71_.wvu.PrintTitles" localSheetId="2" hidden="1">'118_手形・小切手'!$1:$1</definedName>
    <definedName name="Z_A40A9BDD_82B7_45A5_8C28_2E6774722F71_.wvu.PrintTitles" localSheetId="3" hidden="1">'119_売掛金'!$1:$1</definedName>
    <definedName name="Z_A40A9BDD_82B7_45A5_8C28_2E6774722F71_.wvu.PrintTitles" localSheetId="4" hidden="1">'120_在庫商品'!$1:$1</definedName>
    <definedName name="Z_A40A9BDD_82B7_45A5_8C28_2E6774722F71_.wvu.PrintTitles" localSheetId="5" hidden="1">'121_貸付金'!$1:$1</definedName>
    <definedName name="Z_A40A9BDD_82B7_45A5_8C28_2E6774722F71_.wvu.PrintTitles" localSheetId="6" hidden="1">'122_不動産'!$1:$1</definedName>
    <definedName name="Z_A40A9BDD_82B7_45A5_8C28_2E6774722F71_.wvu.PrintTitles" localSheetId="7" hidden="1">'123_機械・工具類'!$1:$1</definedName>
    <definedName name="Z_A40A9BDD_82B7_45A5_8C28_2E6774722F71_.wvu.PrintTitles" localSheetId="8" hidden="1">'124_什器備品'!$1:$1</definedName>
    <definedName name="Z_A40A9BDD_82B7_45A5_8C28_2E6774722F71_.wvu.PrintTitles" localSheetId="9" hidden="1">'125_自動車'!$1:$1</definedName>
    <definedName name="Z_A40A9BDD_82B7_45A5_8C28_2E6774722F71_.wvu.PrintTitles" localSheetId="10" hidden="1">'126_有価証券'!$1:$1</definedName>
    <definedName name="Z_A40A9BDD_82B7_45A5_8C28_2E6774722F71_.wvu.PrintTitles" localSheetId="11" hidden="1">'127_賃借保証金・敷金'!$1:$1</definedName>
    <definedName name="Z_A40A9BDD_82B7_45A5_8C28_2E6774722F71_.wvu.PrintTitles" localSheetId="12" hidden="1">'128_保険'!$1:$1</definedName>
    <definedName name="Z_A40A9BDD_82B7_45A5_8C28_2E6774722F71_.wvu.PrintTitles" localSheetId="13" hidden="1">'129_過払金'!$1:$1</definedName>
    <definedName name="Z_A40A9BDD_82B7_45A5_8C28_2E6774722F71_.wvu.PrintTitles" localSheetId="14" hidden="1">'130_その他'!$1:$1</definedName>
    <definedName name="Z_A40A9BDD_82B7_45A5_8C28_2E6774722F71_.wvu.PrintTitles" localSheetId="15" hidden="1">'131_処分済財産'!$2:$2</definedName>
  </definedNames>
  <calcPr calcId="145621"/>
  <customWorkbookViews>
    <customWorkbookView name="hora-law-a - 個人用ビュー" guid="{6F922FB1-F68A-46DE-A607-10E765F3DA60}" mergeInterval="0" personalView="1" xWindow="699" yWindow="39" windowWidth="1217" windowHeight="800" tabRatio="904" activeSheetId="7"/>
    <customWorkbookView name="hora - 個人用ビュー" guid="{3B0C33F4-61B3-4DD1-861F-A18C21F5A24B}" mergeInterval="0" personalView="1" maximized="1" windowWidth="1362" windowHeight="538" tabRatio="904" activeSheetId="1"/>
    <customWorkbookView name="hora-law-b - 個人用ビュー" guid="{A40A9BDD-82B7-45A5-8C28-2E6774722F71}" mergeInterval="0" personalView="1" maximized="1" windowWidth="1366" windowHeight="537" tabRatio="904" activeSheetId="1" showComments="commIndAndComment"/>
  </customWorkbookViews>
</workbook>
</file>

<file path=xl/calcChain.xml><?xml version="1.0" encoding="utf-8"?>
<calcChain xmlns="http://schemas.openxmlformats.org/spreadsheetml/2006/main">
  <c r="D2" i="12" l="1"/>
  <c r="C18" i="1" l="1"/>
  <c r="H4" i="2"/>
  <c r="H5" i="2"/>
  <c r="H6" i="2"/>
  <c r="H7" i="2"/>
  <c r="H8" i="2"/>
  <c r="H9" i="2"/>
  <c r="H10" i="2"/>
  <c r="H11" i="2"/>
  <c r="H12" i="2"/>
  <c r="H13" i="2"/>
  <c r="H3" i="2"/>
  <c r="H2" i="2"/>
  <c r="I22" i="3" l="1"/>
  <c r="G12" i="7" l="1"/>
  <c r="E12" i="7"/>
  <c r="C12" i="14" l="1"/>
  <c r="F14" i="15"/>
  <c r="E14" i="15"/>
  <c r="C14" i="12" l="1"/>
  <c r="D12" i="14" l="1"/>
  <c r="E12" i="14"/>
  <c r="F12" i="14"/>
  <c r="E14" i="13"/>
  <c r="F14" i="13"/>
  <c r="D3" i="12"/>
  <c r="D4" i="12"/>
  <c r="D14" i="12" s="1"/>
  <c r="D5" i="12"/>
  <c r="D6" i="12"/>
  <c r="D7" i="12"/>
  <c r="D8" i="12"/>
  <c r="D9" i="12"/>
  <c r="D10" i="12"/>
  <c r="D11" i="12"/>
  <c r="D12" i="12"/>
  <c r="D13" i="12"/>
  <c r="E14" i="12"/>
  <c r="F14" i="12"/>
  <c r="G14" i="12"/>
  <c r="G14" i="11"/>
  <c r="H14" i="11"/>
  <c r="F12" i="10"/>
  <c r="G12" i="10"/>
  <c r="E14" i="9"/>
  <c r="F14" i="9"/>
  <c r="E14" i="8"/>
  <c r="F14" i="8"/>
  <c r="F12" i="7"/>
  <c r="F22" i="6"/>
  <c r="G22" i="6"/>
  <c r="E14" i="5"/>
  <c r="F14" i="5"/>
  <c r="F22" i="4"/>
  <c r="G22" i="4"/>
  <c r="J22" i="3"/>
  <c r="F14" i="2"/>
  <c r="F3" i="1"/>
  <c r="F4" i="1"/>
  <c r="F5" i="1"/>
  <c r="F6" i="1"/>
  <c r="F7" i="1"/>
  <c r="F8" i="1"/>
  <c r="F9" i="1"/>
  <c r="F10" i="1"/>
  <c r="F11" i="1"/>
  <c r="F12" i="1"/>
  <c r="F13" i="1"/>
  <c r="F14" i="1"/>
  <c r="F15" i="1"/>
  <c r="F17" i="1"/>
  <c r="D18" i="1"/>
  <c r="H14" i="2" l="1"/>
</calcChain>
</file>

<file path=xl/comments1.xml><?xml version="1.0" encoding="utf-8"?>
<comments xmlns="http://schemas.openxmlformats.org/spreadsheetml/2006/main">
  <authors>
    <author>新宅 正人</author>
  </authors>
  <commentList>
    <comment ref="B1" authorId="0">
      <text>
        <r>
          <rPr>
            <sz val="9"/>
            <color indexed="81"/>
            <rFont val="ＭＳ Ｐゴシック"/>
            <family val="3"/>
            <charset val="128"/>
          </rPr>
          <t xml:space="preserve">割引手形は記載しない。
</t>
        </r>
        <r>
          <rPr>
            <sz val="9"/>
            <color indexed="81"/>
            <rFont val="ＭＳ Ｐゴシック"/>
            <family val="3"/>
            <charset val="128"/>
          </rPr>
          <t xml:space="preserve">
</t>
        </r>
      </text>
    </comment>
  </commentList>
</comments>
</file>

<file path=xl/comments2.xml><?xml version="1.0" encoding="utf-8"?>
<comments xmlns="http://schemas.openxmlformats.org/spreadsheetml/2006/main">
  <authors>
    <author>新宅 正人</author>
  </authors>
  <commentList>
    <comment ref="G1" authorId="0">
      <text>
        <r>
          <rPr>
            <sz val="9"/>
            <color indexed="81"/>
            <rFont val="ＭＳ Ｐゴシック"/>
            <family val="3"/>
            <charset val="128"/>
          </rPr>
          <t>回収見込額については、固定資産評価証明における評価額ないし査定価格と被担保債権額の差額を記載する。</t>
        </r>
      </text>
    </comment>
  </commentList>
</comments>
</file>

<file path=xl/sharedStrings.xml><?xml version="1.0" encoding="utf-8"?>
<sst xmlns="http://schemas.openxmlformats.org/spreadsheetml/2006/main" count="362" uniqueCount="113">
  <si>
    <t>〒</t>
  </si>
  <si>
    <t>住　　所</t>
  </si>
  <si>
    <t>債務者の氏名又は会社名</t>
    <rPh sb="0" eb="2">
      <t>サイム</t>
    </rPh>
    <phoneticPr fontId="2"/>
  </si>
  <si>
    <t>手形小切手番号</t>
    <rPh sb="0" eb="2">
      <t>テガタ</t>
    </rPh>
    <rPh sb="2" eb="5">
      <t>コギッテ</t>
    </rPh>
    <rPh sb="5" eb="7">
      <t>バンゴウ</t>
    </rPh>
    <phoneticPr fontId="2"/>
  </si>
  <si>
    <t>振出人の氏名又は会社名</t>
    <rPh sb="0" eb="2">
      <t>フリダシ</t>
    </rPh>
    <rPh sb="2" eb="3">
      <t>ニン</t>
    </rPh>
    <phoneticPr fontId="2"/>
  </si>
  <si>
    <t>裏書人</t>
    <rPh sb="0" eb="3">
      <t>ウラガキニン</t>
    </rPh>
    <phoneticPr fontId="2"/>
  </si>
  <si>
    <t>科　目</t>
    <rPh sb="0" eb="3">
      <t>カモク</t>
    </rPh>
    <phoneticPr fontId="5"/>
  </si>
  <si>
    <t>現金</t>
    <rPh sb="0" eb="2">
      <t>ゲンキン</t>
    </rPh>
    <phoneticPr fontId="5"/>
  </si>
  <si>
    <t>保険解約返戻金</t>
    <rPh sb="0" eb="2">
      <t>ホケン</t>
    </rPh>
    <rPh sb="2" eb="4">
      <t>カイヤク</t>
    </rPh>
    <rPh sb="4" eb="7">
      <t>ヘンレイキン</t>
    </rPh>
    <phoneticPr fontId="5"/>
  </si>
  <si>
    <t>賃借保証金・敷金</t>
    <rPh sb="0" eb="2">
      <t>チンシャク</t>
    </rPh>
    <rPh sb="2" eb="5">
      <t>ホショウキン</t>
    </rPh>
    <rPh sb="6" eb="8">
      <t>シキキン</t>
    </rPh>
    <phoneticPr fontId="5"/>
  </si>
  <si>
    <t>受取手形・小切手</t>
    <rPh sb="0" eb="2">
      <t>ウケトリ</t>
    </rPh>
    <rPh sb="2" eb="4">
      <t>テガタ</t>
    </rPh>
    <rPh sb="5" eb="8">
      <t>コギッテ</t>
    </rPh>
    <phoneticPr fontId="5"/>
  </si>
  <si>
    <t>売掛金</t>
    <rPh sb="0" eb="3">
      <t>ウリカケキン</t>
    </rPh>
    <phoneticPr fontId="5"/>
  </si>
  <si>
    <t>貸付金</t>
    <rPh sb="0" eb="3">
      <t>カシツケキン</t>
    </rPh>
    <phoneticPr fontId="5"/>
  </si>
  <si>
    <t>不動産</t>
    <rPh sb="0" eb="3">
      <t>フドウサン</t>
    </rPh>
    <phoneticPr fontId="5"/>
  </si>
  <si>
    <t>自動車</t>
    <rPh sb="0" eb="3">
      <t>ジドウシャ</t>
    </rPh>
    <phoneticPr fontId="5"/>
  </si>
  <si>
    <t>有価証券</t>
    <rPh sb="0" eb="2">
      <t>ユウカ</t>
    </rPh>
    <rPh sb="2" eb="4">
      <t>ショウケン</t>
    </rPh>
    <phoneticPr fontId="5"/>
  </si>
  <si>
    <t>機械・工具類</t>
    <rPh sb="0" eb="2">
      <t>キカイ</t>
    </rPh>
    <rPh sb="3" eb="5">
      <t>コウグ</t>
    </rPh>
    <rPh sb="5" eb="6">
      <t>ルイ</t>
    </rPh>
    <phoneticPr fontId="5"/>
  </si>
  <si>
    <t>什器備品</t>
    <rPh sb="0" eb="2">
      <t>ジュウキ</t>
    </rPh>
    <rPh sb="2" eb="4">
      <t>ビヒン</t>
    </rPh>
    <phoneticPr fontId="5"/>
  </si>
  <si>
    <t>在庫商品</t>
    <rPh sb="0" eb="2">
      <t>ザイコ</t>
    </rPh>
    <rPh sb="2" eb="4">
      <t>ショウヒン</t>
    </rPh>
    <phoneticPr fontId="5"/>
  </si>
  <si>
    <t>金　額（円）</t>
    <rPh sb="4" eb="5">
      <t>エン</t>
    </rPh>
    <phoneticPr fontId="2"/>
  </si>
  <si>
    <t>備　　考</t>
    <rPh sb="0" eb="1">
      <t>ソナエ</t>
    </rPh>
    <rPh sb="3" eb="4">
      <t>コウ</t>
    </rPh>
    <phoneticPr fontId="6"/>
  </si>
  <si>
    <t>通帳等</t>
    <rPh sb="0" eb="2">
      <t>ツウチョウ</t>
    </rPh>
    <rPh sb="2" eb="3">
      <t>トウ</t>
    </rPh>
    <phoneticPr fontId="6"/>
  </si>
  <si>
    <t>保険種類</t>
    <rPh sb="0" eb="2">
      <t>ホケン</t>
    </rPh>
    <rPh sb="2" eb="4">
      <t>シュルイ</t>
    </rPh>
    <phoneticPr fontId="6"/>
  </si>
  <si>
    <t>証券番号</t>
    <rPh sb="0" eb="2">
      <t>ショウケン</t>
    </rPh>
    <rPh sb="2" eb="4">
      <t>バンゴウ</t>
    </rPh>
    <phoneticPr fontId="6"/>
  </si>
  <si>
    <t>証券</t>
    <rPh sb="0" eb="2">
      <t>ショウケン</t>
    </rPh>
    <phoneticPr fontId="6"/>
  </si>
  <si>
    <t>種類</t>
    <rPh sb="0" eb="2">
      <t>シュルイ</t>
    </rPh>
    <phoneticPr fontId="6"/>
  </si>
  <si>
    <t>所在地</t>
    <rPh sb="0" eb="3">
      <t>ショザイチ</t>
    </rPh>
    <phoneticPr fontId="6"/>
  </si>
  <si>
    <t>被担保債権額　（円）</t>
    <rPh sb="0" eb="1">
      <t>ヒ</t>
    </rPh>
    <rPh sb="1" eb="3">
      <t>タンポ</t>
    </rPh>
    <rPh sb="3" eb="5">
      <t>サイケン</t>
    </rPh>
    <rPh sb="5" eb="6">
      <t>ガク</t>
    </rPh>
    <rPh sb="8" eb="9">
      <t>エン</t>
    </rPh>
    <phoneticPr fontId="6"/>
  </si>
  <si>
    <t>回収見込額（円）</t>
    <rPh sb="0" eb="2">
      <t>カイシュウ</t>
    </rPh>
    <rPh sb="2" eb="5">
      <t>ミコミガク</t>
    </rPh>
    <rPh sb="6" eb="7">
      <t>エン</t>
    </rPh>
    <phoneticPr fontId="2"/>
  </si>
  <si>
    <t>車名</t>
    <rPh sb="0" eb="1">
      <t>クルマ</t>
    </rPh>
    <rPh sb="1" eb="2">
      <t>メイ</t>
    </rPh>
    <phoneticPr fontId="6"/>
  </si>
  <si>
    <t>登録番号</t>
    <rPh sb="0" eb="2">
      <t>トウロク</t>
    </rPh>
    <rPh sb="2" eb="4">
      <t>バンゴウ</t>
    </rPh>
    <phoneticPr fontId="6"/>
  </si>
  <si>
    <t>保管場所</t>
    <rPh sb="0" eb="2">
      <t>ホカン</t>
    </rPh>
    <rPh sb="2" eb="4">
      <t>バショ</t>
    </rPh>
    <phoneticPr fontId="6"/>
  </si>
  <si>
    <t>取引相場資料</t>
    <rPh sb="0" eb="2">
      <t>トリヒキ</t>
    </rPh>
    <rPh sb="2" eb="4">
      <t>ソウバ</t>
    </rPh>
    <rPh sb="4" eb="6">
      <t>シリョウ</t>
    </rPh>
    <phoneticPr fontId="6"/>
  </si>
  <si>
    <t>所在場所</t>
    <rPh sb="0" eb="2">
      <t>ショザイ</t>
    </rPh>
    <rPh sb="2" eb="4">
      <t>バショ</t>
    </rPh>
    <phoneticPr fontId="6"/>
  </si>
  <si>
    <t>品名</t>
    <rPh sb="0" eb="2">
      <t>ヒンメイ</t>
    </rPh>
    <phoneticPr fontId="6"/>
  </si>
  <si>
    <t>個数</t>
    <rPh sb="0" eb="2">
      <t>コスウ</t>
    </rPh>
    <phoneticPr fontId="6"/>
  </si>
  <si>
    <t>名称</t>
    <rPh sb="0" eb="2">
      <t>メイショウ</t>
    </rPh>
    <phoneticPr fontId="6"/>
  </si>
  <si>
    <t>備　考</t>
    <rPh sb="0" eb="1">
      <t>ソナエ</t>
    </rPh>
    <rPh sb="2" eb="3">
      <t>コウ</t>
    </rPh>
    <phoneticPr fontId="5"/>
  </si>
  <si>
    <t>相殺予定</t>
    <rPh sb="0" eb="2">
      <t>ソウサイ</t>
    </rPh>
    <rPh sb="2" eb="4">
      <t>ヨテイ</t>
    </rPh>
    <phoneticPr fontId="6"/>
  </si>
  <si>
    <t>備　　考　　　</t>
    <rPh sb="0" eb="1">
      <t>ソナエ</t>
    </rPh>
    <rPh sb="3" eb="4">
      <t>コウ</t>
    </rPh>
    <phoneticPr fontId="6"/>
  </si>
  <si>
    <t>差入額（円）</t>
    <rPh sb="0" eb="1">
      <t>サ</t>
    </rPh>
    <rPh sb="1" eb="2">
      <t>イ</t>
    </rPh>
    <rPh sb="2" eb="3">
      <t>ガク</t>
    </rPh>
    <rPh sb="4" eb="5">
      <t>エン</t>
    </rPh>
    <phoneticPr fontId="6"/>
  </si>
  <si>
    <t>契約上の返戻金（円）</t>
    <rPh sb="0" eb="3">
      <t>ケイヤクジョウ</t>
    </rPh>
    <rPh sb="4" eb="7">
      <t>ヘンレイキン</t>
    </rPh>
    <rPh sb="8" eb="9">
      <t>エン</t>
    </rPh>
    <phoneticPr fontId="6"/>
  </si>
  <si>
    <t>滞納額（円）</t>
    <rPh sb="0" eb="3">
      <t>タイノウガク</t>
    </rPh>
    <rPh sb="4" eb="5">
      <t>エン</t>
    </rPh>
    <phoneticPr fontId="6"/>
  </si>
  <si>
    <t>残高（円）</t>
    <rPh sb="0" eb="2">
      <t>ザンダカ</t>
    </rPh>
    <rPh sb="3" eb="4">
      <t>エン</t>
    </rPh>
    <phoneticPr fontId="6"/>
  </si>
  <si>
    <t>回収見込額（円）</t>
    <rPh sb="0" eb="2">
      <t>カイシュウ</t>
    </rPh>
    <rPh sb="2" eb="5">
      <t>ミコミガク</t>
    </rPh>
    <rPh sb="6" eb="7">
      <t>エン</t>
    </rPh>
    <phoneticPr fontId="6"/>
  </si>
  <si>
    <t>支払期日</t>
    <rPh sb="0" eb="2">
      <t>シハライ</t>
    </rPh>
    <rPh sb="2" eb="4">
      <t>キジツ</t>
    </rPh>
    <phoneticPr fontId="2"/>
  </si>
  <si>
    <t>回収見込額（円）</t>
    <rPh sb="0" eb="2">
      <t>カイシュウ</t>
    </rPh>
    <rPh sb="2" eb="4">
      <t>ミコ</t>
    </rPh>
    <rPh sb="4" eb="5">
      <t>ガク</t>
    </rPh>
    <rPh sb="6" eb="7">
      <t>エン</t>
    </rPh>
    <phoneticPr fontId="2"/>
  </si>
  <si>
    <t>査定書</t>
    <rPh sb="0" eb="2">
      <t>サテイ</t>
    </rPh>
    <rPh sb="2" eb="3">
      <t>ショ</t>
    </rPh>
    <phoneticPr fontId="6"/>
  </si>
  <si>
    <t>回収見込額（円）</t>
    <rPh sb="0" eb="2">
      <t>カイシュウ</t>
    </rPh>
    <rPh sb="2" eb="4">
      <t>ミコミ</t>
    </rPh>
    <rPh sb="4" eb="5">
      <t>ガク</t>
    </rPh>
    <rPh sb="6" eb="7">
      <t>エン</t>
    </rPh>
    <phoneticPr fontId="6"/>
  </si>
  <si>
    <t>数量</t>
    <rPh sb="0" eb="2">
      <t>スウリョウ</t>
    </rPh>
    <phoneticPr fontId="6"/>
  </si>
  <si>
    <t>備考</t>
    <rPh sb="0" eb="2">
      <t>ビコウ</t>
    </rPh>
    <phoneticPr fontId="6"/>
  </si>
  <si>
    <t>処分価格(円）</t>
    <rPh sb="0" eb="2">
      <t>ショブン</t>
    </rPh>
    <rPh sb="2" eb="4">
      <t>カカク</t>
    </rPh>
    <rPh sb="5" eb="6">
      <t>エン</t>
    </rPh>
    <phoneticPr fontId="3"/>
  </si>
  <si>
    <t>契約書等</t>
    <rPh sb="2" eb="3">
      <t>ショ</t>
    </rPh>
    <phoneticPr fontId="2"/>
  </si>
  <si>
    <t>名目額(簿価額等)(円)</t>
    <rPh sb="0" eb="3">
      <t>メイモクガク</t>
    </rPh>
    <rPh sb="4" eb="6">
      <t>ボカ</t>
    </rPh>
    <rPh sb="6" eb="7">
      <t>ガク</t>
    </rPh>
    <rPh sb="7" eb="8">
      <t>トウ</t>
    </rPh>
    <rPh sb="10" eb="11">
      <t>エン</t>
    </rPh>
    <phoneticPr fontId="5"/>
  </si>
  <si>
    <t>回収見込額(円)</t>
    <rPh sb="0" eb="2">
      <t>カイシュウ</t>
    </rPh>
    <rPh sb="2" eb="5">
      <t>ミコミガク</t>
    </rPh>
    <rPh sb="6" eb="7">
      <t>エン</t>
    </rPh>
    <phoneticPr fontId="5"/>
  </si>
  <si>
    <t>合計</t>
    <rPh sb="0" eb="2">
      <t>ゴウケイ</t>
    </rPh>
    <phoneticPr fontId="5"/>
  </si>
  <si>
    <t>ＴＥＬ　　　　　　　ＦＡＸ</t>
    <phoneticPr fontId="2"/>
  </si>
  <si>
    <t>ＴＥＬ
ＦＡＸ</t>
    <phoneticPr fontId="2"/>
  </si>
  <si>
    <t>No.</t>
    <phoneticPr fontId="5"/>
  </si>
  <si>
    <t>No.</t>
    <phoneticPr fontId="6"/>
  </si>
  <si>
    <t>No.</t>
    <phoneticPr fontId="2"/>
  </si>
  <si>
    <r>
      <t>地番</t>
    </r>
    <r>
      <rPr>
        <sz val="9"/>
        <rFont val="ＭＳ Ｐ明朝"/>
        <family val="1"/>
        <charset val="128"/>
      </rPr>
      <t>又は</t>
    </r>
    <r>
      <rPr>
        <sz val="11"/>
        <rFont val="ＭＳ Ｐ明朝"/>
        <family val="1"/>
        <charset val="128"/>
      </rPr>
      <t>家屋番号</t>
    </r>
    <rPh sb="0" eb="2">
      <t>チバン</t>
    </rPh>
    <rPh sb="2" eb="3">
      <t>マタ</t>
    </rPh>
    <rPh sb="4" eb="6">
      <t>カオク</t>
    </rPh>
    <rPh sb="6" eb="8">
      <t>バンゴウ</t>
    </rPh>
    <phoneticPr fontId="6"/>
  </si>
  <si>
    <t>回収見込額
（解約返戻金）（円）</t>
    <rPh sb="0" eb="2">
      <t>カイシュウ</t>
    </rPh>
    <rPh sb="2" eb="5">
      <t>ミコミガク</t>
    </rPh>
    <rPh sb="7" eb="9">
      <t>カイヤク</t>
    </rPh>
    <rPh sb="9" eb="12">
      <t>ヘンレイキン</t>
    </rPh>
    <rPh sb="14" eb="15">
      <t>エン</t>
    </rPh>
    <phoneticPr fontId="6"/>
  </si>
  <si>
    <t>□</t>
    <phoneticPr fontId="6"/>
  </si>
  <si>
    <t>簿価等（円）</t>
    <rPh sb="0" eb="2">
      <t>ボカ</t>
    </rPh>
    <rPh sb="2" eb="3">
      <t>トウ</t>
    </rPh>
    <rPh sb="4" eb="5">
      <t>エン</t>
    </rPh>
    <phoneticPr fontId="6"/>
  </si>
  <si>
    <t>評価証明書等</t>
    <rPh sb="0" eb="2">
      <t>ヒョウカ</t>
    </rPh>
    <rPh sb="2" eb="5">
      <t>ショウメイショ</t>
    </rPh>
    <rPh sb="5" eb="6">
      <t>トウ</t>
    </rPh>
    <phoneticPr fontId="6"/>
  </si>
  <si>
    <t>簿価等（円）</t>
    <rPh sb="0" eb="2">
      <t>ボカ</t>
    </rPh>
    <rPh sb="2" eb="3">
      <t>ナド</t>
    </rPh>
    <rPh sb="4" eb="5">
      <t>エン</t>
    </rPh>
    <phoneticPr fontId="6"/>
  </si>
  <si>
    <t>No.</t>
    <phoneticPr fontId="2"/>
  </si>
  <si>
    <t>合計</t>
    <rPh sb="0" eb="2">
      <t>ゴウケイ</t>
    </rPh>
    <phoneticPr fontId="6"/>
  </si>
  <si>
    <t>預貯金</t>
    <rPh sb="0" eb="3">
      <t>ヨチョキン</t>
    </rPh>
    <phoneticPr fontId="5"/>
  </si>
  <si>
    <t>合計</t>
    <rPh sb="0" eb="2">
      <t>ゴウケイ</t>
    </rPh>
    <phoneticPr fontId="2"/>
  </si>
  <si>
    <t>その他</t>
    <rPh sb="2" eb="3">
      <t>タ</t>
    </rPh>
    <phoneticPr fontId="5"/>
  </si>
  <si>
    <t>※</t>
    <phoneticPr fontId="3"/>
  </si>
  <si>
    <t>財産の種類・内容</t>
    <rPh sb="0" eb="2">
      <t>ザイサン</t>
    </rPh>
    <rPh sb="3" eb="5">
      <t>シュルイ</t>
    </rPh>
    <rPh sb="6" eb="8">
      <t>ナイヨウ</t>
    </rPh>
    <phoneticPr fontId="6"/>
  </si>
  <si>
    <t>財産の種類・内容</t>
    <rPh sb="0" eb="2">
      <t>ザイサン</t>
    </rPh>
    <rPh sb="3" eb="5">
      <t>シュルイ</t>
    </rPh>
    <rPh sb="6" eb="8">
      <t>ナイヨウ</t>
    </rPh>
    <phoneticPr fontId="3"/>
  </si>
  <si>
    <r>
      <t xml:space="preserve">処分代金の使途 </t>
    </r>
    <r>
      <rPr>
        <sz val="9"/>
        <rFont val="ＭＳ 明朝"/>
        <family val="1"/>
        <charset val="128"/>
      </rPr>
      <t xml:space="preserve">又は </t>
    </r>
    <r>
      <rPr>
        <sz val="11"/>
        <rFont val="ＭＳ 明朝"/>
        <family val="1"/>
        <charset val="128"/>
      </rPr>
      <t>財産目録非掲載の理由</t>
    </r>
    <rPh sb="0" eb="2">
      <t>ショブン</t>
    </rPh>
    <rPh sb="2" eb="4">
      <t>ダイキン</t>
    </rPh>
    <rPh sb="5" eb="7">
      <t>シト</t>
    </rPh>
    <rPh sb="8" eb="9">
      <t>マタ</t>
    </rPh>
    <rPh sb="11" eb="13">
      <t>ザイサン</t>
    </rPh>
    <rPh sb="13" eb="15">
      <t>モクロク</t>
    </rPh>
    <rPh sb="15" eb="16">
      <t>ヒ</t>
    </rPh>
    <rPh sb="16" eb="18">
      <t>ケイサイ</t>
    </rPh>
    <rPh sb="19" eb="21">
      <t>リユウ</t>
    </rPh>
    <phoneticPr fontId="3"/>
  </si>
  <si>
    <t>処分</t>
    <rPh sb="0" eb="2">
      <t>ショブン</t>
    </rPh>
    <phoneticPr fontId="3"/>
  </si>
  <si>
    <t>架空計上</t>
    <rPh sb="0" eb="2">
      <t>カクウ</t>
    </rPh>
    <rPh sb="2" eb="4">
      <t>ケイジョウ</t>
    </rPh>
    <phoneticPr fontId="3"/>
  </si>
  <si>
    <t>支店名</t>
    <rPh sb="0" eb="3">
      <t>シテンメイ</t>
    </rPh>
    <phoneticPr fontId="6"/>
  </si>
  <si>
    <t>金融機関名</t>
    <rPh sb="0" eb="2">
      <t>キンユウ</t>
    </rPh>
    <rPh sb="2" eb="4">
      <t>キカン</t>
    </rPh>
    <rPh sb="4" eb="5">
      <t>メイ</t>
    </rPh>
    <phoneticPr fontId="6"/>
  </si>
  <si>
    <t>口座番号</t>
    <rPh sb="0" eb="2">
      <t>コウザ</t>
    </rPh>
    <rPh sb="2" eb="4">
      <t>バンゴウ</t>
    </rPh>
    <phoneticPr fontId="6"/>
  </si>
  <si>
    <t>額面（円）</t>
    <rPh sb="0" eb="2">
      <t>ガクメン</t>
    </rPh>
    <rPh sb="3" eb="4">
      <t>エン</t>
    </rPh>
    <phoneticPr fontId="2"/>
  </si>
  <si>
    <t>□</t>
    <phoneticPr fontId="6"/>
  </si>
  <si>
    <t>□</t>
    <phoneticPr fontId="6"/>
  </si>
  <si>
    <t>備考</t>
    <rPh sb="0" eb="2">
      <t>ビコウ</t>
    </rPh>
    <phoneticPr fontId="2"/>
  </si>
  <si>
    <t>初度登録年</t>
    <rPh sb="0" eb="1">
      <t>ハジ</t>
    </rPh>
    <rPh sb="1" eb="2">
      <t>ド</t>
    </rPh>
    <rPh sb="2" eb="4">
      <t>トウロク</t>
    </rPh>
    <rPh sb="4" eb="5">
      <t>ネン</t>
    </rPh>
    <phoneticPr fontId="6"/>
  </si>
  <si>
    <t>証券等番号</t>
    <rPh sb="0" eb="2">
      <t>ショウケン</t>
    </rPh>
    <rPh sb="2" eb="3">
      <t>トウ</t>
    </rPh>
    <rPh sb="3" eb="5">
      <t>バンゴウ</t>
    </rPh>
    <phoneticPr fontId="6"/>
  </si>
  <si>
    <t>No.</t>
    <phoneticPr fontId="2"/>
  </si>
  <si>
    <t>額面額</t>
    <rPh sb="0" eb="2">
      <t>ガクメン</t>
    </rPh>
    <rPh sb="2" eb="3">
      <t>ガク</t>
    </rPh>
    <phoneticPr fontId="6"/>
  </si>
  <si>
    <t>過払金</t>
    <rPh sb="0" eb="3">
      <t>カバライキン</t>
    </rPh>
    <phoneticPr fontId="5"/>
  </si>
  <si>
    <t>□</t>
    <phoneticPr fontId="2"/>
  </si>
  <si>
    <r>
      <t>評価額(固定資産評価証明書)　</t>
    </r>
    <r>
      <rPr>
        <sz val="9"/>
        <rFont val="ＭＳ Ｐ明朝"/>
        <family val="1"/>
        <charset val="128"/>
      </rPr>
      <t>又は</t>
    </r>
    <r>
      <rPr>
        <sz val="11"/>
        <rFont val="ＭＳ Ｐ明朝"/>
        <family val="1"/>
        <charset val="128"/>
      </rPr>
      <t xml:space="preserve">
査定価格(査定書) 
　　　　（円）</t>
    </r>
    <rPh sb="0" eb="3">
      <t>ヒョウカガク</t>
    </rPh>
    <rPh sb="12" eb="13">
      <t>ショ</t>
    </rPh>
    <rPh sb="15" eb="16">
      <t>マタ</t>
    </rPh>
    <rPh sb="18" eb="20">
      <t>サテイ</t>
    </rPh>
    <rPh sb="20" eb="22">
      <t>カカク</t>
    </rPh>
    <rPh sb="34" eb="35">
      <t>エン</t>
    </rPh>
    <phoneticPr fontId="6"/>
  </si>
  <si>
    <t>所有権留保</t>
    <rPh sb="0" eb="3">
      <t>ショユウケン</t>
    </rPh>
    <rPh sb="3" eb="5">
      <t>リュウホ</t>
    </rPh>
    <phoneticPr fontId="6"/>
  </si>
  <si>
    <t>登録事項証明書等</t>
    <rPh sb="0" eb="2">
      <t>トウロク</t>
    </rPh>
    <rPh sb="2" eb="4">
      <t>ジコウ</t>
    </rPh>
    <rPh sb="4" eb="7">
      <t>ショウメイショ</t>
    </rPh>
    <rPh sb="7" eb="8">
      <t>トウ</t>
    </rPh>
    <phoneticPr fontId="6"/>
  </si>
  <si>
    <t>証券等／所在場所</t>
    <rPh sb="0" eb="2">
      <t>ショウケン</t>
    </rPh>
    <rPh sb="2" eb="3">
      <t>トウ</t>
    </rPh>
    <rPh sb="4" eb="6">
      <t>ショザイ</t>
    </rPh>
    <rPh sb="6" eb="8">
      <t>バショ</t>
    </rPh>
    <phoneticPr fontId="6"/>
  </si>
  <si>
    <t>処分日</t>
    <rPh sb="0" eb="2">
      <t>ショブン</t>
    </rPh>
    <rPh sb="2" eb="3">
      <t>ビ</t>
    </rPh>
    <phoneticPr fontId="3"/>
  </si>
  <si>
    <t>被担保債権
残額証明書</t>
    <rPh sb="0" eb="1">
      <t>ヒ</t>
    </rPh>
    <rPh sb="1" eb="3">
      <t>タンポ</t>
    </rPh>
    <rPh sb="3" eb="5">
      <t>サイケン</t>
    </rPh>
    <rPh sb="6" eb="8">
      <t>ザンガク</t>
    </rPh>
    <rPh sb="8" eb="11">
      <t>ショウメイショ</t>
    </rPh>
    <phoneticPr fontId="6"/>
  </si>
  <si>
    <t>原状回復費用等の見込額（円）</t>
    <rPh sb="0" eb="2">
      <t>ゲンジョウ</t>
    </rPh>
    <rPh sb="2" eb="4">
      <t>カイフク</t>
    </rPh>
    <rPh sb="4" eb="6">
      <t>ヒヨウ</t>
    </rPh>
    <rPh sb="6" eb="7">
      <t>トウ</t>
    </rPh>
    <rPh sb="8" eb="11">
      <t>ミコミガク</t>
    </rPh>
    <rPh sb="12" eb="13">
      <t>エン</t>
    </rPh>
    <phoneticPr fontId="6"/>
  </si>
  <si>
    <t>賃借物件名</t>
    <rPh sb="0" eb="2">
      <t>チンシャク</t>
    </rPh>
    <rPh sb="2" eb="4">
      <t>ブッケン</t>
    </rPh>
    <rPh sb="4" eb="5">
      <t>ナ</t>
    </rPh>
    <phoneticPr fontId="6"/>
  </si>
  <si>
    <t>保険会社名</t>
    <rPh sb="0" eb="2">
      <t>ホケン</t>
    </rPh>
    <rPh sb="2" eb="4">
      <t>カイシャ</t>
    </rPh>
    <rPh sb="4" eb="5">
      <t>ナ</t>
    </rPh>
    <phoneticPr fontId="6"/>
  </si>
  <si>
    <t>相手方の氏名又は会社名</t>
    <rPh sb="0" eb="3">
      <t>アイテガタ</t>
    </rPh>
    <rPh sb="4" eb="6">
      <t>シメイ</t>
    </rPh>
    <rPh sb="6" eb="7">
      <t>マタ</t>
    </rPh>
    <rPh sb="8" eb="11">
      <t>カイシャメイ</t>
    </rPh>
    <phoneticPr fontId="6"/>
  </si>
  <si>
    <t>契約書等</t>
    <rPh sb="0" eb="3">
      <t>ケイヤクショ</t>
    </rPh>
    <rPh sb="3" eb="4">
      <t>トウ</t>
    </rPh>
    <phoneticPr fontId="6"/>
  </si>
  <si>
    <t>□</t>
    <phoneticPr fontId="6"/>
  </si>
  <si>
    <t>名目額
（解約返戻金）（円）</t>
    <rPh sb="0" eb="2">
      <t>メイモク</t>
    </rPh>
    <rPh sb="2" eb="3">
      <t>ガク</t>
    </rPh>
    <rPh sb="5" eb="7">
      <t>カイヤク</t>
    </rPh>
    <rPh sb="7" eb="10">
      <t>ヘンレイキン</t>
    </rPh>
    <rPh sb="12" eb="13">
      <t>エン</t>
    </rPh>
    <phoneticPr fontId="6"/>
  </si>
  <si>
    <t>財産の内容
（ゴルフ会員権・株式・出資金等）</t>
    <rPh sb="0" eb="2">
      <t>ザイサン</t>
    </rPh>
    <rPh sb="3" eb="5">
      <t>ナイヨウ</t>
    </rPh>
    <rPh sb="10" eb="13">
      <t>カイインケン</t>
    </rPh>
    <rPh sb="14" eb="16">
      <t>カブシキ</t>
    </rPh>
    <rPh sb="17" eb="19">
      <t>シュッシ</t>
    </rPh>
    <rPh sb="19" eb="20">
      <t>キン</t>
    </rPh>
    <rPh sb="20" eb="21">
      <t>トウ</t>
    </rPh>
    <phoneticPr fontId="6"/>
  </si>
  <si>
    <t>合計</t>
    <rPh sb="0" eb="2">
      <t>ゴウケイ</t>
    </rPh>
    <phoneticPr fontId="6"/>
  </si>
  <si>
    <t>合意額又は
見込み額（円）</t>
    <rPh sb="0" eb="2">
      <t>ゴウイ</t>
    </rPh>
    <rPh sb="2" eb="3">
      <t>ガク</t>
    </rPh>
    <rPh sb="3" eb="4">
      <t>マタ</t>
    </rPh>
    <rPh sb="6" eb="8">
      <t>ミコ</t>
    </rPh>
    <rPh sb="9" eb="10">
      <t>ガク</t>
    </rPh>
    <rPh sb="11" eb="12">
      <t>エン</t>
    </rPh>
    <phoneticPr fontId="6"/>
  </si>
  <si>
    <t>回収費用控除
予定額（円）</t>
    <rPh sb="0" eb="2">
      <t>カイシュウ</t>
    </rPh>
    <rPh sb="2" eb="4">
      <t>ヒヨウ</t>
    </rPh>
    <rPh sb="4" eb="6">
      <t>コウジョ</t>
    </rPh>
    <rPh sb="7" eb="10">
      <t>ヨテイガク</t>
    </rPh>
    <rPh sb="11" eb="12">
      <t>エン</t>
    </rPh>
    <phoneticPr fontId="6"/>
  </si>
  <si>
    <t>回収費用控除後
残金(円）</t>
    <rPh sb="0" eb="2">
      <t>カイシュウ</t>
    </rPh>
    <rPh sb="2" eb="4">
      <t>ヒヨウ</t>
    </rPh>
    <rPh sb="4" eb="6">
      <t>コウジョ</t>
    </rPh>
    <rPh sb="6" eb="7">
      <t>ゴ</t>
    </rPh>
    <rPh sb="8" eb="10">
      <t>ザンキン</t>
    </rPh>
    <rPh sb="11" eb="12">
      <t>エン</t>
    </rPh>
    <phoneticPr fontId="6"/>
  </si>
  <si>
    <t>合意又は
債務名義
取得の有無</t>
    <rPh sb="0" eb="2">
      <t>ゴウイ</t>
    </rPh>
    <rPh sb="2" eb="3">
      <t>マタ</t>
    </rPh>
    <rPh sb="5" eb="7">
      <t>サイム</t>
    </rPh>
    <rPh sb="7" eb="9">
      <t>メイギ</t>
    </rPh>
    <rPh sb="10" eb="12">
      <t>シュトク</t>
    </rPh>
    <rPh sb="13" eb="15">
      <t>ウム</t>
    </rPh>
    <phoneticPr fontId="6"/>
  </si>
  <si>
    <t>□</t>
    <phoneticPr fontId="6"/>
  </si>
  <si>
    <t>□</t>
    <phoneticPr fontId="6"/>
  </si>
  <si>
    <t>ただし，①現金，②預貯金，③受取手形・小切手，④売掛金，⑤在庫商品（原材料）など，通常流動性が高いと思われる資産については記入する必要がありません。
⑥貸付金，⑦不動産，⑧機械・工具類，⑨什器備品，⑩自動車，⑪有価証券，⑫賃借保証金・敷金，⑬保険解約返戻金，⑮その他の財産等の資産についてのみ記入してください。</t>
    <rPh sb="91" eb="92">
      <t>ルイ</t>
    </rPh>
    <rPh sb="111" eb="113">
      <t>チンシャク</t>
    </rPh>
    <rPh sb="132" eb="133">
      <t>タ</t>
    </rPh>
    <rPh sb="134" eb="136">
      <t>ザイサン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</si>
</sst>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5" formatCode="&quot;¥&quot;#,##0;&quot;¥&quot;\-#,##0"/>
    <numFmt numFmtId="6" formatCode="&quot;¥&quot;#,##0;[Red]&quot;¥&quot;\-#,##0"/>
    <numFmt numFmtId="176" formatCode="[&lt;=999]000;000\-00"/>
    <numFmt numFmtId="177" formatCode="0_ "/>
    <numFmt numFmtId="178" formatCode="#,##0_);[Red]\(#,##0\)"/>
    <numFmt numFmtId="179" formatCode="[$-411]ge\.m\.d;@"/>
    <numFmt numFmtId="180" formatCode="&quot;¥&quot;#\!\,##0;[Red]&quot;¥&quot;&quot;¥&quot;\!\-#\!\,##0"/>
    <numFmt numFmtId="181" formatCode="#,##0_ "/>
    <numFmt numFmtId="182" formatCode="#\ "/>
    <numFmt numFmtId="183" formatCode="#"/>
    <numFmt numFmtId="184" formatCode="@&quot; 有&quot;"/>
    <numFmt numFmtId="185" formatCode="#,##0_ ;[Red]\-#,##0\ "/>
  </numFmts>
  <fonts count="14">
    <font>
      <sz val="11"/>
      <name val="ＭＳ Ｐゴシック"/>
      <family val="3"/>
      <charset val="128"/>
    </font>
    <font>
      <sz val="11"/>
      <name val="ＭＳ Ｐゴシック"/>
      <family val="3"/>
      <charset val="128"/>
    </font>
    <font>
      <sz val="11"/>
      <name val="ＭＳ 明朝"/>
      <family val="1"/>
      <charset val="128"/>
    </font>
    <font>
      <sz val="6"/>
      <name val="ＭＳ Ｐゴシック"/>
      <family val="3"/>
      <charset val="128"/>
    </font>
    <font>
      <sz val="11"/>
      <name val="明朝"/>
      <family val="1"/>
      <charset val="128"/>
    </font>
    <font>
      <sz val="6"/>
      <name val="ＭＳ Ｐ明朝"/>
      <family val="1"/>
      <charset val="128"/>
    </font>
    <font>
      <sz val="6"/>
      <name val="明朝"/>
      <family val="3"/>
      <charset val="128"/>
    </font>
    <font>
      <sz val="11"/>
      <name val="ＭＳ Ｐゴシック"/>
      <family val="3"/>
      <charset val="128"/>
    </font>
    <font>
      <sz val="11"/>
      <name val="ＭＳ Ｐ明朝"/>
      <family val="1"/>
      <charset val="128"/>
    </font>
    <font>
      <sz val="9"/>
      <name val="ＭＳ Ｐ明朝"/>
      <family val="1"/>
      <charset val="128"/>
    </font>
    <font>
      <sz val="9"/>
      <name val="ＭＳ 明朝"/>
      <family val="1"/>
      <charset val="128"/>
    </font>
    <font>
      <sz val="9"/>
      <color indexed="81"/>
      <name val="ＭＳ Ｐゴシック"/>
      <family val="3"/>
      <charset val="128"/>
    </font>
    <font>
      <sz val="8"/>
      <name val="ＭＳ Ｐ明朝"/>
      <family val="1"/>
      <charset val="128"/>
    </font>
    <font>
      <sz val="11"/>
      <color indexed="8"/>
      <name val="ＭＳ Ｐ明朝"/>
      <family val="1"/>
      <charset val="128"/>
    </font>
  </fonts>
  <fills count="3">
    <fill>
      <patternFill patternType="none"/>
    </fill>
    <fill>
      <patternFill patternType="gray125"/>
    </fill>
    <fill>
      <patternFill patternType="solid">
        <fgColor indexed="9"/>
        <bgColor indexed="64"/>
      </patternFill>
    </fill>
  </fills>
  <borders count="1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style="hair">
        <color indexed="64"/>
      </left>
      <right style="thin">
        <color indexed="64"/>
      </right>
      <top style="double">
        <color indexed="64"/>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38" fontId="1" fillId="0" borderId="0" applyFont="0" applyFill="0" applyBorder="0" applyAlignment="0" applyProtection="0"/>
    <xf numFmtId="6" fontId="1" fillId="0" borderId="0" applyFont="0" applyFill="0" applyBorder="0" applyAlignment="0" applyProtection="0"/>
    <xf numFmtId="180" fontId="7" fillId="0" borderId="0" applyFont="0" applyFill="0" applyBorder="0" applyAlignment="0" applyProtection="0"/>
    <xf numFmtId="0" fontId="4" fillId="0" borderId="0"/>
    <xf numFmtId="0" fontId="4" fillId="0" borderId="0"/>
  </cellStyleXfs>
  <cellXfs count="209">
    <xf numFmtId="0" fontId="0" fillId="0" borderId="0" xfId="0"/>
    <xf numFmtId="0" fontId="8" fillId="0" borderId="1" xfId="4" applyFont="1" applyBorder="1" applyAlignment="1">
      <alignment horizontal="center" vertical="center"/>
    </xf>
    <xf numFmtId="0" fontId="8" fillId="0" borderId="0" xfId="4" applyFont="1" applyAlignment="1">
      <alignment horizontal="center" vertical="center"/>
    </xf>
    <xf numFmtId="3" fontId="8" fillId="0" borderId="1" xfId="4" applyNumberFormat="1" applyFont="1" applyBorder="1" applyAlignment="1">
      <alignment horizontal="center" vertical="center"/>
    </xf>
    <xf numFmtId="0" fontId="8" fillId="0" borderId="2" xfId="4" applyFont="1" applyBorder="1" applyAlignment="1">
      <alignment horizontal="center" vertical="center"/>
    </xf>
    <xf numFmtId="49" fontId="8" fillId="0" borderId="2" xfId="4" applyNumberFormat="1" applyFont="1" applyBorder="1" applyAlignment="1">
      <alignment horizontal="center" vertical="center"/>
    </xf>
    <xf numFmtId="3" fontId="8" fillId="0" borderId="2" xfId="4" applyNumberFormat="1" applyFont="1" applyBorder="1" applyAlignment="1">
      <alignment vertical="center"/>
    </xf>
    <xf numFmtId="3" fontId="8" fillId="0" borderId="2" xfId="4" applyNumberFormat="1" applyFont="1" applyBorder="1" applyAlignment="1">
      <alignment horizontal="center" vertical="center"/>
    </xf>
    <xf numFmtId="0" fontId="8" fillId="0" borderId="2" xfId="4" applyFont="1" applyBorder="1" applyAlignment="1">
      <alignment horizontal="center" vertical="center" wrapText="1"/>
    </xf>
    <xf numFmtId="0" fontId="8" fillId="0" borderId="3" xfId="4" applyFont="1" applyBorder="1" applyAlignment="1">
      <alignment horizontal="center" vertical="center"/>
    </xf>
    <xf numFmtId="0" fontId="8" fillId="0" borderId="0" xfId="4" applyFont="1" applyBorder="1" applyAlignment="1">
      <alignment horizontal="center" vertical="center"/>
    </xf>
    <xf numFmtId="3" fontId="8" fillId="0" borderId="0" xfId="4" applyNumberFormat="1" applyFont="1" applyBorder="1" applyAlignment="1">
      <alignment vertical="center"/>
    </xf>
    <xf numFmtId="0" fontId="8" fillId="0" borderId="0" xfId="4" applyFont="1" applyBorder="1" applyAlignment="1">
      <alignment vertical="center"/>
    </xf>
    <xf numFmtId="3" fontId="8" fillId="0" borderId="0" xfId="4" applyNumberFormat="1" applyFont="1" applyAlignment="1">
      <alignment vertical="center"/>
    </xf>
    <xf numFmtId="49" fontId="8" fillId="0" borderId="1" xfId="4" applyNumberFormat="1" applyFont="1" applyBorder="1" applyAlignment="1">
      <alignment horizontal="center" vertical="center"/>
    </xf>
    <xf numFmtId="0" fontId="8" fillId="0" borderId="0" xfId="4" applyFont="1" applyAlignment="1">
      <alignment vertical="center"/>
    </xf>
    <xf numFmtId="3" fontId="8" fillId="0" borderId="0" xfId="4" applyNumberFormat="1" applyFont="1" applyBorder="1" applyAlignment="1">
      <alignment horizontal="center" vertical="center"/>
    </xf>
    <xf numFmtId="3" fontId="8" fillId="0" borderId="0" xfId="4" applyNumberFormat="1" applyFont="1" applyAlignment="1">
      <alignment horizontal="center" vertical="center"/>
    </xf>
    <xf numFmtId="181" fontId="8" fillId="0" borderId="2" xfId="4" applyNumberFormat="1" applyFont="1" applyBorder="1" applyAlignment="1">
      <alignment vertical="center"/>
    </xf>
    <xf numFmtId="181" fontId="8" fillId="0" borderId="0" xfId="4" applyNumberFormat="1" applyFont="1" applyAlignment="1">
      <alignment vertical="center"/>
    </xf>
    <xf numFmtId="0" fontId="8" fillId="0" borderId="2" xfId="0" applyFont="1" applyBorder="1" applyAlignment="1">
      <alignment horizontal="left" vertical="center" wrapText="1"/>
    </xf>
    <xf numFmtId="0" fontId="8" fillId="0" borderId="0" xfId="0" applyFont="1" applyAlignment="1">
      <alignment horizontal="center" vertical="center" wrapText="1"/>
    </xf>
    <xf numFmtId="0" fontId="8" fillId="0" borderId="1" xfId="0" applyNumberFormat="1" applyFont="1" applyBorder="1" applyAlignment="1">
      <alignment horizontal="center" vertical="center" wrapText="1"/>
    </xf>
    <xf numFmtId="176" fontId="8"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49" fontId="8" fillId="0" borderId="1" xfId="0" applyNumberFormat="1" applyFont="1" applyBorder="1" applyAlignment="1">
      <alignment horizontal="center" vertical="center" wrapText="1"/>
    </xf>
    <xf numFmtId="179" fontId="8" fillId="0" borderId="1" xfId="0"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176" fontId="8" fillId="0" borderId="2" xfId="0" applyNumberFormat="1" applyFont="1" applyBorder="1" applyAlignment="1">
      <alignment horizontal="center" vertical="center" wrapText="1"/>
    </xf>
    <xf numFmtId="49" fontId="8" fillId="0" borderId="2" xfId="0" applyNumberFormat="1" applyFont="1" applyBorder="1" applyAlignment="1">
      <alignment horizontal="center" vertical="center" wrapText="1"/>
    </xf>
    <xf numFmtId="179" fontId="8" fillId="0" borderId="2" xfId="0" applyNumberFormat="1" applyFont="1" applyBorder="1" applyAlignment="1">
      <alignment horizontal="center" vertical="center" wrapText="1"/>
    </xf>
    <xf numFmtId="49" fontId="8" fillId="0" borderId="0" xfId="0" applyNumberFormat="1" applyFont="1" applyBorder="1" applyAlignment="1">
      <alignment horizontal="center" vertical="center" wrapText="1"/>
    </xf>
    <xf numFmtId="0" fontId="8" fillId="0" borderId="0" xfId="0" applyFont="1" applyBorder="1" applyAlignment="1">
      <alignment horizontal="left" vertical="center" wrapText="1"/>
    </xf>
    <xf numFmtId="176" fontId="8" fillId="0" borderId="0" xfId="0" applyNumberFormat="1" applyFont="1" applyBorder="1" applyAlignment="1">
      <alignment horizontal="center" vertical="center" wrapText="1"/>
    </xf>
    <xf numFmtId="38" fontId="8" fillId="0" borderId="0" xfId="0" applyNumberFormat="1" applyFont="1" applyBorder="1" applyAlignment="1">
      <alignment horizontal="right" vertical="center" wrapText="1"/>
    </xf>
    <xf numFmtId="0" fontId="8" fillId="0" borderId="0" xfId="0" applyFont="1" applyBorder="1" applyAlignment="1">
      <alignment horizontal="center" vertical="center" wrapText="1"/>
    </xf>
    <xf numFmtId="49" fontId="8" fillId="0" borderId="0" xfId="0" applyNumberFormat="1" applyFont="1" applyAlignment="1">
      <alignment horizontal="center" vertical="center" wrapText="1"/>
    </xf>
    <xf numFmtId="0" fontId="8" fillId="0" borderId="0" xfId="0" applyFont="1" applyAlignment="1">
      <alignment horizontal="left" vertical="center" wrapText="1"/>
    </xf>
    <xf numFmtId="176" fontId="8" fillId="0" borderId="0" xfId="0" applyNumberFormat="1" applyFont="1" applyAlignment="1">
      <alignment horizontal="center" vertical="center" wrapText="1"/>
    </xf>
    <xf numFmtId="38" fontId="8" fillId="0" borderId="0" xfId="0" applyNumberFormat="1" applyFont="1" applyAlignment="1">
      <alignment horizontal="right" vertical="center" wrapText="1"/>
    </xf>
    <xf numFmtId="0" fontId="8" fillId="0" borderId="0" xfId="0" applyNumberFormat="1" applyFont="1" applyBorder="1" applyAlignment="1">
      <alignment horizontal="center" vertical="center" wrapText="1"/>
    </xf>
    <xf numFmtId="0" fontId="8" fillId="0" borderId="0" xfId="0" applyNumberFormat="1" applyFont="1" applyAlignment="1">
      <alignment horizontal="center" vertical="center" wrapText="1"/>
    </xf>
    <xf numFmtId="57" fontId="8" fillId="0" borderId="0" xfId="0" applyNumberFormat="1" applyFont="1" applyAlignment="1">
      <alignment horizontal="left" vertical="center" wrapText="1"/>
    </xf>
    <xf numFmtId="0" fontId="8" fillId="0" borderId="1" xfId="0" applyFont="1" applyFill="1" applyBorder="1" applyAlignment="1">
      <alignment horizontal="left" vertical="center" shrinkToFit="1"/>
    </xf>
    <xf numFmtId="181" fontId="8" fillId="0" borderId="1" xfId="0" applyNumberFormat="1" applyFont="1" applyBorder="1" applyAlignment="1">
      <alignment horizontal="right" vertical="center" wrapText="1"/>
    </xf>
    <xf numFmtId="181" fontId="8" fillId="0" borderId="2" xfId="0" applyNumberFormat="1" applyFont="1" applyBorder="1" applyAlignment="1">
      <alignment horizontal="right" vertical="center" wrapText="1"/>
    </xf>
    <xf numFmtId="181" fontId="8" fillId="0" borderId="0" xfId="0" applyNumberFormat="1" applyFont="1" applyAlignment="1">
      <alignment horizontal="right" vertical="center" wrapText="1"/>
    </xf>
    <xf numFmtId="38" fontId="8" fillId="0" borderId="0" xfId="0" applyNumberFormat="1" applyFont="1" applyBorder="1" applyAlignment="1">
      <alignment horizontal="center" vertical="center" shrinkToFit="1"/>
    </xf>
    <xf numFmtId="38" fontId="8" fillId="0" borderId="0" xfId="0" applyNumberFormat="1" applyFont="1" applyAlignment="1">
      <alignment horizontal="center" vertical="center" shrinkToFit="1"/>
    </xf>
    <xf numFmtId="179" fontId="8" fillId="0" borderId="0" xfId="0" applyNumberFormat="1" applyFont="1" applyAlignment="1">
      <alignment horizontal="center" vertical="center" wrapText="1"/>
    </xf>
    <xf numFmtId="181" fontId="8" fillId="0" borderId="2" xfId="4" applyNumberFormat="1" applyFont="1" applyBorder="1" applyAlignment="1">
      <alignment horizontal="right" vertical="center"/>
    </xf>
    <xf numFmtId="181" fontId="8" fillId="0" borderId="1" xfId="4" applyNumberFormat="1" applyFont="1" applyBorder="1" applyAlignment="1">
      <alignment horizontal="right" vertical="center"/>
    </xf>
    <xf numFmtId="0" fontId="8" fillId="0" borderId="0" xfId="5" applyFont="1" applyAlignment="1">
      <alignment horizontal="center" vertical="center" wrapText="1"/>
    </xf>
    <xf numFmtId="181" fontId="8" fillId="0" borderId="0" xfId="5" applyNumberFormat="1" applyFont="1" applyAlignment="1">
      <alignment horizontal="center" vertical="center" wrapText="1"/>
    </xf>
    <xf numFmtId="0" fontId="8" fillId="0" borderId="0" xfId="5" applyFont="1" applyAlignment="1">
      <alignment horizontal="right" vertical="center" wrapText="1"/>
    </xf>
    <xf numFmtId="0" fontId="8" fillId="0" borderId="2" xfId="5" applyFont="1" applyBorder="1" applyAlignment="1">
      <alignment horizontal="distributed" vertical="center" wrapText="1"/>
    </xf>
    <xf numFmtId="181" fontId="8" fillId="0" borderId="1" xfId="5" applyNumberFormat="1" applyFont="1" applyBorder="1" applyAlignment="1">
      <alignment horizontal="right" vertical="center" wrapText="1"/>
    </xf>
    <xf numFmtId="181" fontId="8" fillId="0" borderId="2" xfId="5" applyNumberFormat="1" applyFont="1" applyBorder="1" applyAlignment="1">
      <alignment horizontal="right" vertical="center" wrapText="1"/>
    </xf>
    <xf numFmtId="181" fontId="8" fillId="0" borderId="0" xfId="5" applyNumberFormat="1" applyFont="1" applyAlignment="1">
      <alignment horizontal="right" vertical="center" wrapText="1"/>
    </xf>
    <xf numFmtId="181" fontId="8" fillId="0" borderId="0" xfId="4" applyNumberFormat="1" applyFont="1" applyAlignment="1">
      <alignment horizontal="center" vertical="center"/>
    </xf>
    <xf numFmtId="181" fontId="8" fillId="0" borderId="2" xfId="4" applyNumberFormat="1" applyFont="1" applyBorder="1" applyAlignment="1">
      <alignment horizontal="center" vertical="center"/>
    </xf>
    <xf numFmtId="181" fontId="8" fillId="0" borderId="3" xfId="4" applyNumberFormat="1" applyFont="1" applyBorder="1" applyAlignment="1">
      <alignment horizontal="center" vertical="center"/>
    </xf>
    <xf numFmtId="0" fontId="8" fillId="0" borderId="0" xfId="0" applyFont="1" applyBorder="1" applyAlignment="1">
      <alignment vertical="center" wrapText="1"/>
    </xf>
    <xf numFmtId="0" fontId="8" fillId="0" borderId="0" xfId="0" applyFont="1" applyAlignment="1">
      <alignment vertical="center" wrapText="1"/>
    </xf>
    <xf numFmtId="0" fontId="8" fillId="0" borderId="1" xfId="4" applyFont="1" applyBorder="1" applyAlignment="1">
      <alignment horizontal="left" vertical="center"/>
    </xf>
    <xf numFmtId="0" fontId="8" fillId="0" borderId="2" xfId="4" applyFont="1" applyBorder="1" applyAlignment="1">
      <alignment horizontal="left" vertical="center"/>
    </xf>
    <xf numFmtId="0" fontId="8" fillId="0" borderId="2" xfId="4" applyFont="1" applyBorder="1" applyAlignment="1">
      <alignment horizontal="left" vertical="center" wrapText="1"/>
    </xf>
    <xf numFmtId="181" fontId="8" fillId="0" borderId="1" xfId="4" applyNumberFormat="1" applyFont="1" applyBorder="1" applyAlignment="1">
      <alignment horizontal="center" vertical="center"/>
    </xf>
    <xf numFmtId="182" fontId="8" fillId="0" borderId="1" xfId="0" applyNumberFormat="1" applyFont="1" applyBorder="1" applyAlignment="1">
      <alignment horizontal="center" vertical="center"/>
    </xf>
    <xf numFmtId="0" fontId="8" fillId="0" borderId="0" xfId="4" applyNumberFormat="1" applyFont="1" applyAlignment="1">
      <alignment horizontal="center" vertical="center"/>
    </xf>
    <xf numFmtId="183" fontId="8" fillId="0" borderId="1" xfId="4" applyNumberFormat="1" applyFont="1" applyBorder="1" applyAlignment="1">
      <alignment horizontal="center" vertical="center"/>
    </xf>
    <xf numFmtId="183" fontId="8" fillId="0" borderId="2" xfId="4" applyNumberFormat="1" applyFont="1" applyBorder="1" applyAlignment="1">
      <alignment horizontal="center" vertical="center"/>
    </xf>
    <xf numFmtId="183" fontId="8" fillId="0" borderId="2" xfId="4" applyNumberFormat="1" applyFont="1" applyBorder="1" applyAlignment="1">
      <alignment horizontal="center" vertical="center" wrapText="1"/>
    </xf>
    <xf numFmtId="0" fontId="8" fillId="0" borderId="0" xfId="5" applyFont="1" applyBorder="1" applyAlignment="1">
      <alignment horizontal="right" vertical="center" wrapText="1"/>
    </xf>
    <xf numFmtId="182" fontId="8" fillId="0" borderId="2" xfId="0" applyNumberFormat="1" applyFont="1" applyBorder="1" applyAlignment="1">
      <alignment horizontal="center" vertical="center"/>
    </xf>
    <xf numFmtId="183" fontId="8" fillId="0" borderId="1" xfId="0" applyNumberFormat="1" applyFont="1" applyBorder="1" applyAlignment="1">
      <alignment horizontal="right" vertical="center"/>
    </xf>
    <xf numFmtId="0" fontId="2" fillId="0" borderId="0" xfId="0" applyFont="1" applyAlignment="1">
      <alignment vertical="center"/>
    </xf>
    <xf numFmtId="57" fontId="2" fillId="0" borderId="0" xfId="0" applyNumberFormat="1" applyFont="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right" vertical="center"/>
    </xf>
    <xf numFmtId="5" fontId="2" fillId="0" borderId="0" xfId="0" applyNumberFormat="1" applyFont="1" applyAlignment="1">
      <alignment horizontal="right" vertical="center"/>
    </xf>
    <xf numFmtId="5" fontId="2" fillId="0" borderId="0" xfId="0" applyNumberFormat="1" applyFont="1" applyAlignment="1">
      <alignment vertical="center"/>
    </xf>
    <xf numFmtId="0" fontId="2" fillId="0" borderId="0" xfId="0" applyNumberFormat="1" applyFont="1" applyAlignment="1">
      <alignment horizontal="center" vertical="center" shrinkToFit="1"/>
    </xf>
    <xf numFmtId="0" fontId="8" fillId="0" borderId="5" xfId="5" applyFont="1" applyFill="1" applyBorder="1" applyAlignment="1">
      <alignment horizontal="center" vertical="center" wrapText="1"/>
    </xf>
    <xf numFmtId="181" fontId="8" fillId="0" borderId="5" xfId="5" applyNumberFormat="1" applyFont="1" applyFill="1" applyBorder="1" applyAlignment="1">
      <alignment horizontal="center" vertical="center" wrapText="1"/>
    </xf>
    <xf numFmtId="0" fontId="8" fillId="0" borderId="0" xfId="5" applyFont="1" applyFill="1" applyAlignment="1">
      <alignment horizontal="center" vertical="center" wrapText="1"/>
    </xf>
    <xf numFmtId="0" fontId="8" fillId="0" borderId="0" xfId="4" applyFont="1" applyFill="1" applyAlignment="1">
      <alignment vertical="center"/>
    </xf>
    <xf numFmtId="0" fontId="8" fillId="0" borderId="0" xfId="0" applyFont="1" applyFill="1" applyAlignment="1">
      <alignment horizontal="center" vertical="center" wrapText="1"/>
    </xf>
    <xf numFmtId="0" fontId="2" fillId="2" borderId="5" xfId="0" applyFont="1" applyFill="1" applyBorder="1" applyAlignment="1">
      <alignment horizontal="center" vertical="center"/>
    </xf>
    <xf numFmtId="5" fontId="2" fillId="2" borderId="5" xfId="0" applyNumberFormat="1" applyFont="1" applyFill="1" applyBorder="1" applyAlignment="1">
      <alignment horizontal="center" vertical="center"/>
    </xf>
    <xf numFmtId="5" fontId="2" fillId="2" borderId="5" xfId="0" applyNumberFormat="1" applyFont="1" applyFill="1" applyBorder="1" applyAlignment="1">
      <alignment horizontal="center" vertical="center" shrinkToFit="1"/>
    </xf>
    <xf numFmtId="0" fontId="2" fillId="2" borderId="5" xfId="0" applyNumberFormat="1" applyFont="1" applyFill="1" applyBorder="1" applyAlignment="1">
      <alignment horizontal="center" vertical="center" shrinkToFit="1"/>
    </xf>
    <xf numFmtId="49" fontId="8" fillId="0" borderId="5" xfId="5" applyNumberFormat="1" applyFont="1" applyFill="1" applyBorder="1" applyAlignment="1">
      <alignment horizontal="center" vertical="center" wrapText="1"/>
    </xf>
    <xf numFmtId="49" fontId="8" fillId="0" borderId="1" xfId="5" applyNumberFormat="1" applyFont="1" applyBorder="1" applyAlignment="1">
      <alignment horizontal="center" vertical="center" wrapText="1"/>
    </xf>
    <xf numFmtId="49" fontId="8" fillId="0" borderId="0" xfId="5" applyNumberFormat="1" applyFont="1" applyAlignment="1">
      <alignment horizontal="center" vertical="center" wrapText="1"/>
    </xf>
    <xf numFmtId="0" fontId="2" fillId="0" borderId="6" xfId="0" applyFont="1" applyBorder="1" applyAlignment="1">
      <alignment horizontal="center" vertical="top" wrapText="1"/>
    </xf>
    <xf numFmtId="0" fontId="2" fillId="2" borderId="5" xfId="0" applyNumberFormat="1" applyFont="1" applyFill="1" applyBorder="1" applyAlignment="1">
      <alignment horizontal="center" vertical="center" wrapText="1" shrinkToFit="1"/>
    </xf>
    <xf numFmtId="57" fontId="2" fillId="0" borderId="0" xfId="0" applyNumberFormat="1" applyFont="1" applyAlignment="1">
      <alignment horizontal="center" vertical="center"/>
    </xf>
    <xf numFmtId="49" fontId="8" fillId="0" borderId="0" xfId="5" applyNumberFormat="1" applyFont="1" applyBorder="1" applyAlignment="1">
      <alignment horizontal="center" vertical="center" wrapText="1"/>
    </xf>
    <xf numFmtId="0" fontId="8" fillId="0" borderId="0" xfId="5" applyFont="1" applyBorder="1" applyAlignment="1">
      <alignment horizontal="center" vertical="center" wrapText="1"/>
    </xf>
    <xf numFmtId="0" fontId="8" fillId="0" borderId="1" xfId="4" applyNumberFormat="1" applyFont="1" applyBorder="1" applyAlignment="1">
      <alignment horizontal="center" vertical="center"/>
    </xf>
    <xf numFmtId="0" fontId="8" fillId="0" borderId="5" xfId="4" applyFont="1" applyFill="1" applyBorder="1" applyAlignment="1">
      <alignment horizontal="center" vertical="center"/>
    </xf>
    <xf numFmtId="0" fontId="8" fillId="0" borderId="5" xfId="4" applyNumberFormat="1" applyFont="1" applyFill="1" applyBorder="1" applyAlignment="1">
      <alignment horizontal="center" vertical="center"/>
    </xf>
    <xf numFmtId="181" fontId="8" fillId="0" borderId="5" xfId="4" applyNumberFormat="1" applyFont="1" applyFill="1" applyBorder="1" applyAlignment="1">
      <alignment horizontal="center" vertical="center"/>
    </xf>
    <xf numFmtId="0" fontId="8" fillId="0" borderId="5" xfId="4" applyFont="1" applyFill="1" applyBorder="1" applyAlignment="1">
      <alignment horizontal="center" vertical="center" wrapText="1"/>
    </xf>
    <xf numFmtId="0" fontId="8" fillId="0" borderId="7" xfId="4" applyFont="1" applyFill="1" applyBorder="1" applyAlignment="1">
      <alignment horizontal="center" vertical="center" wrapText="1"/>
    </xf>
    <xf numFmtId="181" fontId="8" fillId="0" borderId="5" xfId="4" applyNumberFormat="1" applyFont="1" applyFill="1" applyBorder="1" applyAlignment="1">
      <alignment vertical="center" wrapText="1"/>
    </xf>
    <xf numFmtId="181" fontId="8" fillId="0" borderId="5" xfId="4" applyNumberFormat="1" applyFont="1" applyFill="1" applyBorder="1" applyAlignment="1">
      <alignment horizontal="center" vertical="center" wrapText="1"/>
    </xf>
    <xf numFmtId="0" fontId="8" fillId="0" borderId="5" xfId="4" applyFont="1" applyFill="1" applyBorder="1" applyAlignment="1">
      <alignment horizontal="center" vertical="center" textRotation="255" wrapText="1"/>
    </xf>
    <xf numFmtId="49" fontId="8" fillId="0" borderId="5" xfId="0" applyNumberFormat="1" applyFont="1" applyFill="1" applyBorder="1" applyAlignment="1">
      <alignment horizontal="center" vertical="center" wrapText="1"/>
    </xf>
    <xf numFmtId="0" fontId="8" fillId="0" borderId="5" xfId="0" applyFont="1" applyFill="1" applyBorder="1" applyAlignment="1">
      <alignment horizontal="center" vertical="center" wrapText="1"/>
    </xf>
    <xf numFmtId="176" fontId="8" fillId="0" borderId="5" xfId="0" applyNumberFormat="1" applyFont="1" applyFill="1" applyBorder="1" applyAlignment="1">
      <alignment horizontal="center" vertical="center" wrapText="1"/>
    </xf>
    <xf numFmtId="38" fontId="8" fillId="0" borderId="5" xfId="0" applyNumberFormat="1" applyFont="1" applyFill="1" applyBorder="1" applyAlignment="1">
      <alignment horizontal="center" vertical="center" shrinkToFit="1"/>
    </xf>
    <xf numFmtId="179" fontId="8" fillId="0" borderId="5" xfId="0" applyNumberFormat="1" applyFont="1" applyFill="1" applyBorder="1" applyAlignment="1">
      <alignment horizontal="center" vertical="center" wrapText="1"/>
    </xf>
    <xf numFmtId="181" fontId="8" fillId="0" borderId="5" xfId="0" applyNumberFormat="1" applyFont="1" applyFill="1" applyBorder="1" applyAlignment="1">
      <alignment horizontal="center" vertical="center" wrapText="1"/>
    </xf>
    <xf numFmtId="38" fontId="8" fillId="0" borderId="5" xfId="0" applyNumberFormat="1" applyFont="1" applyFill="1" applyBorder="1" applyAlignment="1">
      <alignment horizontal="center" vertical="center" wrapText="1"/>
    </xf>
    <xf numFmtId="0" fontId="8" fillId="0" borderId="5" xfId="0" applyNumberFormat="1" applyFont="1" applyFill="1" applyBorder="1" applyAlignment="1">
      <alignment horizontal="center" vertical="center" wrapText="1"/>
    </xf>
    <xf numFmtId="178" fontId="8" fillId="0" borderId="1" xfId="0" applyNumberFormat="1" applyFont="1" applyBorder="1" applyAlignment="1">
      <alignment horizontal="right" vertical="center"/>
    </xf>
    <xf numFmtId="178" fontId="8" fillId="0" borderId="2" xfId="0" applyNumberFormat="1" applyFont="1" applyBorder="1" applyAlignment="1">
      <alignment horizontal="right" vertical="center" wrapText="1"/>
    </xf>
    <xf numFmtId="185" fontId="8" fillId="0" borderId="5" xfId="1" applyNumberFormat="1" applyFont="1" applyFill="1" applyBorder="1" applyAlignment="1">
      <alignment horizontal="center" vertical="center" wrapText="1"/>
    </xf>
    <xf numFmtId="185" fontId="8" fillId="0" borderId="1" xfId="1" applyNumberFormat="1" applyFont="1" applyBorder="1" applyAlignment="1">
      <alignment horizontal="right" vertical="center" wrapText="1"/>
    </xf>
    <xf numFmtId="185" fontId="8" fillId="0" borderId="1" xfId="1" applyNumberFormat="1" applyFont="1" applyBorder="1" applyAlignment="1">
      <alignment horizontal="right" vertical="center"/>
    </xf>
    <xf numFmtId="185" fontId="8" fillId="0" borderId="2" xfId="1" applyNumberFormat="1" applyFont="1" applyBorder="1" applyAlignment="1">
      <alignment horizontal="right" vertical="center" wrapText="1"/>
    </xf>
    <xf numFmtId="185" fontId="8" fillId="0" borderId="0" xfId="1" applyNumberFormat="1" applyFont="1" applyAlignment="1">
      <alignment horizontal="center" vertical="center" wrapText="1"/>
    </xf>
    <xf numFmtId="185" fontId="8" fillId="0" borderId="0" xfId="1" applyNumberFormat="1" applyFont="1" applyAlignment="1">
      <alignment horizontal="right" vertical="center" wrapText="1"/>
    </xf>
    <xf numFmtId="0" fontId="8" fillId="0" borderId="5" xfId="4" applyFont="1" applyFill="1" applyBorder="1" applyAlignment="1">
      <alignment horizontal="center" vertical="center" shrinkToFit="1"/>
    </xf>
    <xf numFmtId="181" fontId="8" fillId="0" borderId="0" xfId="4" applyNumberFormat="1" applyFont="1" applyBorder="1" applyAlignment="1">
      <alignment horizontal="right" vertical="center"/>
    </xf>
    <xf numFmtId="0" fontId="8" fillId="0" borderId="8" xfId="4" applyFont="1" applyBorder="1" applyAlignment="1">
      <alignment horizontal="center" vertical="center"/>
    </xf>
    <xf numFmtId="0" fontId="8" fillId="0" borderId="3" xfId="4" applyFont="1" applyFill="1" applyBorder="1" applyAlignment="1">
      <alignment horizontal="center" vertical="center"/>
    </xf>
    <xf numFmtId="177" fontId="8" fillId="0" borderId="1" xfId="0" applyNumberFormat="1" applyFont="1" applyFill="1" applyBorder="1" applyAlignment="1">
      <alignment horizontal="center" vertical="center" wrapText="1"/>
    </xf>
    <xf numFmtId="177" fontId="8" fillId="0" borderId="1" xfId="0" applyNumberFormat="1" applyFont="1" applyBorder="1" applyAlignment="1">
      <alignment horizontal="center" vertical="center" wrapText="1" shrinkToFit="1"/>
    </xf>
    <xf numFmtId="179" fontId="2" fillId="0" borderId="1" xfId="2" applyNumberFormat="1" applyFont="1" applyBorder="1" applyAlignment="1">
      <alignment horizontal="center" vertical="center"/>
    </xf>
    <xf numFmtId="179" fontId="2" fillId="0" borderId="2" xfId="3" applyNumberFormat="1" applyFont="1" applyBorder="1" applyAlignment="1">
      <alignment horizontal="center" vertical="center"/>
    </xf>
    <xf numFmtId="184" fontId="8" fillId="0" borderId="9" xfId="0" applyNumberFormat="1" applyFont="1" applyBorder="1" applyAlignment="1">
      <alignment horizontal="center" vertical="center"/>
    </xf>
    <xf numFmtId="184" fontId="8" fillId="0" borderId="0" xfId="0" applyNumberFormat="1" applyFont="1" applyBorder="1" applyAlignment="1">
      <alignment horizontal="center" vertical="center"/>
    </xf>
    <xf numFmtId="183" fontId="8" fillId="0" borderId="1" xfId="0" applyNumberFormat="1" applyFont="1" applyBorder="1" applyAlignment="1">
      <alignment horizontal="left" vertical="center" wrapText="1"/>
    </xf>
    <xf numFmtId="38" fontId="8" fillId="0" borderId="2" xfId="0" applyNumberFormat="1" applyFont="1" applyBorder="1" applyAlignment="1">
      <alignment horizontal="left" vertical="center" wrapText="1"/>
    </xf>
    <xf numFmtId="0" fontId="8" fillId="0" borderId="1" xfId="4" applyFont="1" applyBorder="1" applyAlignment="1">
      <alignment horizontal="left" vertical="center" wrapText="1"/>
    </xf>
    <xf numFmtId="38" fontId="8" fillId="0" borderId="1" xfId="0" applyNumberFormat="1" applyFont="1" applyBorder="1" applyAlignment="1">
      <alignment horizontal="left" vertical="center" wrapText="1"/>
    </xf>
    <xf numFmtId="183" fontId="8" fillId="0" borderId="1" xfId="0" applyNumberFormat="1" applyFont="1" applyFill="1" applyBorder="1" applyAlignment="1">
      <alignment horizontal="left" vertical="center" wrapText="1"/>
    </xf>
    <xf numFmtId="178" fontId="8" fillId="0" borderId="1" xfId="0" applyNumberFormat="1" applyFont="1" applyBorder="1" applyAlignment="1">
      <alignment horizontal="left" vertical="center"/>
    </xf>
    <xf numFmtId="38" fontId="8" fillId="0" borderId="2" xfId="5" applyNumberFormat="1" applyFont="1" applyBorder="1" applyAlignment="1">
      <alignment horizontal="left" vertical="center" wrapText="1"/>
    </xf>
    <xf numFmtId="0" fontId="8" fillId="0" borderId="1" xfId="0" applyFont="1" applyFill="1" applyBorder="1" applyAlignment="1">
      <alignment horizontal="left" vertical="center" wrapText="1"/>
    </xf>
    <xf numFmtId="0" fontId="8" fillId="0" borderId="3" xfId="4" applyFont="1" applyBorder="1" applyAlignment="1">
      <alignment horizontal="left" vertical="center"/>
    </xf>
    <xf numFmtId="181" fontId="8" fillId="0" borderId="1" xfId="4" applyNumberFormat="1" applyFont="1" applyBorder="1" applyAlignment="1">
      <alignment horizontal="left" vertical="center"/>
    </xf>
    <xf numFmtId="0" fontId="8" fillId="0" borderId="8" xfId="4" applyFont="1" applyBorder="1" applyAlignment="1">
      <alignment horizontal="left" vertical="center"/>
    </xf>
    <xf numFmtId="183" fontId="2" fillId="0" borderId="1" xfId="2" applyNumberFormat="1" applyFont="1" applyBorder="1" applyAlignment="1">
      <alignment horizontal="left" vertical="center" wrapText="1" shrinkToFit="1"/>
    </xf>
    <xf numFmtId="0" fontId="13" fillId="0" borderId="1" xfId="2" applyNumberFormat="1" applyFont="1" applyFill="1" applyBorder="1" applyAlignment="1">
      <alignment horizontal="left" vertical="center" wrapText="1" shrinkToFit="1"/>
    </xf>
    <xf numFmtId="0" fontId="8" fillId="0" borderId="0" xfId="5" applyFont="1" applyFill="1" applyAlignment="1">
      <alignment horizontal="left" vertical="center" wrapText="1"/>
    </xf>
    <xf numFmtId="0" fontId="8" fillId="0" borderId="1" xfId="0" applyFont="1" applyBorder="1" applyAlignment="1">
      <alignment horizontal="left" vertical="center"/>
    </xf>
    <xf numFmtId="0" fontId="8" fillId="0" borderId="2" xfId="0" applyFont="1" applyBorder="1" applyAlignment="1">
      <alignment horizontal="left" vertical="center"/>
    </xf>
    <xf numFmtId="182" fontId="8" fillId="0" borderId="1" xfId="0" applyNumberFormat="1" applyFont="1" applyBorder="1" applyAlignment="1">
      <alignment horizontal="left" vertical="center"/>
    </xf>
    <xf numFmtId="182" fontId="8" fillId="0" borderId="2" xfId="0" applyNumberFormat="1" applyFont="1" applyBorder="1" applyAlignment="1">
      <alignment horizontal="left" vertical="center"/>
    </xf>
    <xf numFmtId="0" fontId="8" fillId="0" borderId="1" xfId="0" applyFont="1" applyFill="1" applyBorder="1" applyAlignment="1">
      <alignment horizontal="left" vertical="center"/>
    </xf>
    <xf numFmtId="0" fontId="8" fillId="0" borderId="4" xfId="2" applyNumberFormat="1" applyFont="1" applyBorder="1" applyAlignment="1">
      <alignment horizontal="left" vertical="center" wrapText="1" shrinkToFit="1"/>
    </xf>
    <xf numFmtId="181" fontId="8" fillId="0" borderId="3" xfId="4" applyNumberFormat="1" applyFont="1" applyBorder="1" applyAlignment="1">
      <alignment horizontal="right" vertical="center"/>
    </xf>
    <xf numFmtId="183" fontId="8" fillId="0" borderId="1" xfId="0" applyNumberFormat="1" applyFont="1" applyBorder="1" applyAlignment="1">
      <alignment horizontal="left" vertical="center" shrinkToFit="1"/>
    </xf>
    <xf numFmtId="177" fontId="8" fillId="0" borderId="1" xfId="2" applyNumberFormat="1" applyFont="1" applyBorder="1" applyAlignment="1">
      <alignment horizontal="center" vertical="center"/>
    </xf>
    <xf numFmtId="0" fontId="8" fillId="0" borderId="1" xfId="2" applyNumberFormat="1" applyFont="1" applyBorder="1" applyAlignment="1">
      <alignment horizontal="left" vertical="center" shrinkToFit="1"/>
    </xf>
    <xf numFmtId="183" fontId="8" fillId="0" borderId="2" xfId="4" applyNumberFormat="1" applyFont="1" applyBorder="1" applyAlignment="1">
      <alignment horizontal="left" vertical="center"/>
    </xf>
    <xf numFmtId="3" fontId="8" fillId="0" borderId="1" xfId="4" applyNumberFormat="1" applyFont="1" applyFill="1" applyBorder="1" applyAlignment="1">
      <alignment horizontal="left" vertical="center"/>
    </xf>
    <xf numFmtId="3" fontId="8" fillId="0" borderId="1" xfId="4" applyNumberFormat="1" applyFont="1" applyBorder="1" applyAlignment="1">
      <alignment horizontal="left" vertical="center"/>
    </xf>
    <xf numFmtId="3" fontId="8" fillId="0" borderId="2" xfId="4" applyNumberFormat="1" applyFont="1" applyBorder="1" applyAlignment="1">
      <alignment horizontal="left" vertical="center"/>
    </xf>
    <xf numFmtId="3" fontId="8" fillId="0" borderId="10" xfId="4" applyNumberFormat="1" applyFont="1" applyBorder="1" applyAlignment="1">
      <alignment horizontal="left" vertical="center"/>
    </xf>
    <xf numFmtId="3" fontId="8" fillId="0" borderId="11" xfId="4" applyNumberFormat="1" applyFont="1" applyBorder="1" applyAlignment="1">
      <alignment horizontal="left" vertical="center"/>
    </xf>
    <xf numFmtId="3" fontId="8" fillId="0" borderId="12" xfId="4" applyNumberFormat="1" applyFont="1" applyBorder="1" applyAlignment="1">
      <alignment horizontal="left" vertical="center"/>
    </xf>
    <xf numFmtId="3" fontId="8" fillId="0" borderId="13" xfId="4" applyNumberFormat="1" applyFont="1" applyBorder="1" applyAlignment="1">
      <alignment horizontal="left" vertical="center"/>
    </xf>
    <xf numFmtId="183" fontId="8" fillId="0" borderId="1" xfId="4" applyNumberFormat="1" applyFont="1" applyBorder="1" applyAlignment="1">
      <alignment horizontal="left" vertical="center"/>
    </xf>
    <xf numFmtId="181" fontId="8" fillId="0" borderId="0" xfId="4" applyNumberFormat="1" applyFont="1" applyAlignment="1">
      <alignment horizontal="right" vertical="center"/>
    </xf>
    <xf numFmtId="183" fontId="8" fillId="0" borderId="8" xfId="4" applyNumberFormat="1" applyFont="1" applyBorder="1" applyAlignment="1">
      <alignment horizontal="left" vertical="center"/>
    </xf>
    <xf numFmtId="181" fontId="8" fillId="0" borderId="8" xfId="4" applyNumberFormat="1" applyFont="1" applyBorder="1" applyAlignment="1">
      <alignment horizontal="right" vertical="center"/>
    </xf>
    <xf numFmtId="181" fontId="2" fillId="0" borderId="1" xfId="2" applyNumberFormat="1" applyFont="1" applyBorder="1" applyAlignment="1">
      <alignment horizontal="right" vertical="center"/>
    </xf>
    <xf numFmtId="181" fontId="2" fillId="0" borderId="2" xfId="3" applyNumberFormat="1" applyFont="1" applyBorder="1" applyAlignment="1">
      <alignment horizontal="right" vertical="center"/>
    </xf>
    <xf numFmtId="0" fontId="8" fillId="0" borderId="1" xfId="0" applyNumberFormat="1" applyFont="1" applyBorder="1" applyAlignment="1">
      <alignment horizontal="center" vertical="center"/>
    </xf>
    <xf numFmtId="0" fontId="8" fillId="0" borderId="4" xfId="0" applyNumberFormat="1" applyFont="1" applyBorder="1" applyAlignment="1">
      <alignment horizontal="center" vertical="center"/>
    </xf>
    <xf numFmtId="0" fontId="12" fillId="0" borderId="5" xfId="4" applyFont="1" applyFill="1" applyBorder="1" applyAlignment="1">
      <alignment horizontal="center" vertical="center" textRotation="255" wrapText="1"/>
    </xf>
    <xf numFmtId="0" fontId="8" fillId="0" borderId="0" xfId="4" applyFont="1" applyAlignment="1" applyProtection="1">
      <alignment vertical="center"/>
      <protection locked="0"/>
    </xf>
    <xf numFmtId="0" fontId="8" fillId="0" borderId="2" xfId="4" applyFont="1" applyFill="1" applyBorder="1" applyAlignment="1">
      <alignment horizontal="center" vertical="center"/>
    </xf>
    <xf numFmtId="49" fontId="8" fillId="0" borderId="1" xfId="0" applyNumberFormat="1" applyFont="1" applyBorder="1" applyAlignment="1">
      <alignment horizontal="center" vertical="center" shrinkToFit="1"/>
    </xf>
    <xf numFmtId="49" fontId="8" fillId="0" borderId="4" xfId="2" applyNumberFormat="1" applyFont="1" applyBorder="1" applyAlignment="1">
      <alignment horizontal="center" vertical="center" shrinkToFit="1"/>
    </xf>
    <xf numFmtId="49" fontId="8" fillId="0" borderId="2" xfId="0" applyNumberFormat="1" applyFont="1" applyBorder="1" applyAlignment="1">
      <alignment horizontal="center" vertical="center" shrinkToFit="1"/>
    </xf>
    <xf numFmtId="181" fontId="8" fillId="0" borderId="1" xfId="4" applyNumberFormat="1" applyFont="1" applyBorder="1" applyAlignment="1">
      <alignment vertical="center"/>
    </xf>
    <xf numFmtId="0" fontId="8" fillId="0" borderId="2" xfId="0" applyNumberFormat="1" applyFont="1" applyBorder="1" applyAlignment="1">
      <alignment horizontal="center" vertical="center"/>
    </xf>
    <xf numFmtId="181" fontId="8" fillId="0" borderId="1" xfId="4" applyNumberFormat="1" applyFont="1" applyBorder="1" applyAlignment="1">
      <alignment horizontal="left" vertical="center" wrapText="1"/>
    </xf>
    <xf numFmtId="0" fontId="8" fillId="0" borderId="1" xfId="4" applyFont="1" applyBorder="1" applyAlignment="1">
      <alignment horizontal="left" vertical="center"/>
    </xf>
    <xf numFmtId="0" fontId="8" fillId="0" borderId="1" xfId="0" applyNumberFormat="1" applyFont="1" applyBorder="1" applyAlignment="1">
      <alignment horizontal="center" vertical="center"/>
    </xf>
    <xf numFmtId="183" fontId="2" fillId="0" borderId="1" xfId="0" applyNumberFormat="1" applyFont="1" applyBorder="1" applyAlignment="1">
      <alignment horizontal="left" vertical="center" shrinkToFit="1"/>
    </xf>
    <xf numFmtId="183" fontId="2" fillId="0" borderId="2" xfId="0" applyNumberFormat="1" applyFont="1" applyBorder="1" applyAlignment="1">
      <alignment horizontal="left" vertical="center" shrinkToFit="1"/>
    </xf>
    <xf numFmtId="0" fontId="8" fillId="0" borderId="1" xfId="4" applyFont="1" applyBorder="1" applyAlignment="1">
      <alignment horizontal="left" vertical="center"/>
    </xf>
    <xf numFmtId="0" fontId="8" fillId="0" borderId="1" xfId="0" applyNumberFormat="1" applyFont="1" applyBorder="1" applyAlignment="1">
      <alignment horizontal="center" vertical="center"/>
    </xf>
    <xf numFmtId="181" fontId="8" fillId="0" borderId="1" xfId="4" applyNumberFormat="1" applyFont="1" applyFill="1" applyBorder="1" applyAlignment="1" applyProtection="1">
      <alignment vertical="center"/>
    </xf>
    <xf numFmtId="181" fontId="8" fillId="0" borderId="1" xfId="4" applyNumberFormat="1" applyFont="1" applyFill="1" applyBorder="1" applyAlignment="1">
      <alignment vertical="center"/>
    </xf>
    <xf numFmtId="181" fontId="8" fillId="0" borderId="8" xfId="4" applyNumberFormat="1" applyFont="1" applyFill="1" applyBorder="1" applyAlignment="1" applyProtection="1">
      <alignment vertical="center"/>
    </xf>
    <xf numFmtId="181" fontId="8" fillId="0" borderId="2" xfId="4" applyNumberFormat="1" applyFont="1" applyFill="1" applyBorder="1" applyAlignment="1" applyProtection="1">
      <alignment vertical="center"/>
    </xf>
    <xf numFmtId="181" fontId="8" fillId="0" borderId="8" xfId="4" applyNumberFormat="1" applyFont="1" applyFill="1" applyBorder="1" applyAlignment="1">
      <alignment vertical="center"/>
    </xf>
    <xf numFmtId="181" fontId="8" fillId="0" borderId="2" xfId="4" applyNumberFormat="1" applyFont="1" applyFill="1" applyBorder="1" applyAlignment="1">
      <alignment vertical="center"/>
    </xf>
    <xf numFmtId="0" fontId="8" fillId="0" borderId="8" xfId="0" applyNumberFormat="1" applyFont="1" applyBorder="1" applyAlignment="1">
      <alignment horizontal="center" vertical="center"/>
    </xf>
    <xf numFmtId="0" fontId="8" fillId="0" borderId="8" xfId="4" applyFont="1" applyBorder="1" applyAlignment="1">
      <alignment horizontal="left" vertical="center" wrapText="1"/>
    </xf>
    <xf numFmtId="181" fontId="8" fillId="0" borderId="2" xfId="5" applyNumberFormat="1" applyFont="1" applyBorder="1" applyAlignment="1">
      <alignment horizontal="right" vertical="center"/>
    </xf>
    <xf numFmtId="181" fontId="8" fillId="0" borderId="1" xfId="5" applyNumberFormat="1" applyFont="1" applyBorder="1" applyAlignment="1">
      <alignment vertical="center"/>
    </xf>
    <xf numFmtId="181" fontId="8" fillId="0" borderId="1" xfId="5" applyNumberFormat="1" applyFont="1" applyBorder="1" applyAlignment="1">
      <alignment horizontal="right" vertical="center"/>
    </xf>
    <xf numFmtId="0" fontId="8" fillId="0" borderId="2" xfId="5" applyFont="1" applyBorder="1" applyAlignment="1">
      <alignment horizontal="center" vertical="center" wrapText="1"/>
    </xf>
    <xf numFmtId="0" fontId="8" fillId="0" borderId="14" xfId="4" applyFont="1" applyFill="1" applyBorder="1" applyAlignment="1">
      <alignment horizontal="center" vertical="center"/>
    </xf>
    <xf numFmtId="0" fontId="8" fillId="0" borderId="7" xfId="4" applyFont="1" applyFill="1" applyBorder="1" applyAlignment="1">
      <alignment horizontal="center" vertical="center"/>
    </xf>
    <xf numFmtId="0" fontId="8" fillId="0" borderId="15" xfId="4" applyFont="1" applyBorder="1" applyAlignment="1">
      <alignment horizontal="center" vertical="center"/>
    </xf>
    <xf numFmtId="0" fontId="0" fillId="0" borderId="16" xfId="0" applyBorder="1" applyAlignment="1">
      <alignment horizontal="center" vertical="center"/>
    </xf>
    <xf numFmtId="0" fontId="2" fillId="0" borderId="6" xfId="0" applyFont="1" applyFill="1" applyBorder="1" applyAlignment="1">
      <alignment vertical="top" wrapText="1"/>
    </xf>
  </cellXfs>
  <cellStyles count="6">
    <cellStyle name="桁区切り" xfId="1" builtinId="6"/>
    <cellStyle name="通貨" xfId="2" builtinId="7"/>
    <cellStyle name="通貨_32～47  財産目録(法人用)" xfId="3"/>
    <cellStyle name="標準" xfId="0" builtinId="0"/>
    <cellStyle name="標準_財産目録明細書" xfId="4"/>
    <cellStyle name="標準_資産・負債一覧表" xfId="5"/>
  </cellStyles>
  <dxfs count="14">
    <dxf>
      <font>
        <condense val="0"/>
        <extend val="0"/>
      </font>
    </dxf>
    <dxf>
      <font>
        <condense val="0"/>
        <extend val="0"/>
      </font>
    </dxf>
    <dxf>
      <font>
        <condense val="0"/>
        <extend val="0"/>
      </font>
    </dxf>
    <dxf>
      <font>
        <condense val="0"/>
        <extend val="0"/>
        <color indexed="9"/>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4" Type="http://schemas.openxmlformats.org/officeDocument/2006/relationships/printerSettings" Target="../printerSettings/printerSettings3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printerSettings" Target="../printerSettings/printerSettings48.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printerSettings" Target="../printerSettings/printerSettings5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4" Type="http://schemas.openxmlformats.org/officeDocument/2006/relationships/printerSettings" Target="../printerSettings/printerSettings5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4" Type="http://schemas.openxmlformats.org/officeDocument/2006/relationships/printerSettings" Target="../printerSettings/printerSettings60.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4"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F21"/>
  <sheetViews>
    <sheetView tabSelected="1" zoomScale="90" zoomScaleNormal="90" workbookViewId="0">
      <pane xSplit="2" ySplit="1" topLeftCell="C2" activePane="bottomRight" state="frozen"/>
      <selection pane="topRight" activeCell="C1" sqref="C1"/>
      <selection pane="bottomLeft" activeCell="A2" sqref="A2"/>
      <selection pane="bottomRight" activeCell="C2" sqref="C2"/>
    </sheetView>
  </sheetViews>
  <sheetFormatPr defaultRowHeight="13.5"/>
  <cols>
    <col min="1" max="1" width="4.625" style="96" bestFit="1" customWidth="1"/>
    <col min="2" max="2" width="18.5" style="52" customWidth="1"/>
    <col min="3" max="3" width="20.125" style="53" bestFit="1" customWidth="1"/>
    <col min="4" max="4" width="17.375" style="53" bestFit="1" customWidth="1"/>
    <col min="5" max="5" width="70.625" style="52" customWidth="1"/>
    <col min="6" max="6" width="9" style="52" hidden="1" customWidth="1"/>
    <col min="7" max="16384" width="9" style="52"/>
  </cols>
  <sheetData>
    <row r="1" spans="1:6" s="87" customFormat="1" ht="24" customHeight="1" thickBot="1">
      <c r="A1" s="94" t="s">
        <v>58</v>
      </c>
      <c r="B1" s="85" t="s">
        <v>6</v>
      </c>
      <c r="C1" s="86" t="s">
        <v>53</v>
      </c>
      <c r="D1" s="86" t="s">
        <v>54</v>
      </c>
      <c r="E1" s="85" t="s">
        <v>37</v>
      </c>
    </row>
    <row r="2" spans="1:6" ht="24" customHeight="1" thickTop="1">
      <c r="A2" s="95">
        <v>1</v>
      </c>
      <c r="B2" s="55" t="s">
        <v>7</v>
      </c>
      <c r="C2" s="56"/>
      <c r="D2" s="56"/>
      <c r="E2" s="142"/>
    </row>
    <row r="3" spans="1:6" ht="24" customHeight="1">
      <c r="A3" s="95">
        <v>2</v>
      </c>
      <c r="B3" s="55" t="s">
        <v>69</v>
      </c>
      <c r="C3" s="56"/>
      <c r="D3" s="56"/>
      <c r="E3" s="143"/>
      <c r="F3" s="52">
        <f>IF('117 _預貯金'!B2="",1,0)</f>
        <v>1</v>
      </c>
    </row>
    <row r="4" spans="1:6" ht="24" customHeight="1">
      <c r="A4" s="95">
        <v>3</v>
      </c>
      <c r="B4" s="55" t="s">
        <v>10</v>
      </c>
      <c r="C4" s="56"/>
      <c r="D4" s="56"/>
      <c r="E4" s="143"/>
      <c r="F4" s="52">
        <f>IF('118_手形・小切手'!B2="",1,0)</f>
        <v>1</v>
      </c>
    </row>
    <row r="5" spans="1:6" ht="24" customHeight="1">
      <c r="A5" s="95">
        <v>4</v>
      </c>
      <c r="B5" s="55" t="s">
        <v>11</v>
      </c>
      <c r="C5" s="56"/>
      <c r="D5" s="56"/>
      <c r="E5" s="143"/>
      <c r="F5" s="52">
        <f>IF('119_売掛金'!B2="",1,0)</f>
        <v>1</v>
      </c>
    </row>
    <row r="6" spans="1:6" ht="24" customHeight="1">
      <c r="A6" s="95">
        <v>5</v>
      </c>
      <c r="B6" s="55" t="s">
        <v>18</v>
      </c>
      <c r="C6" s="56"/>
      <c r="D6" s="56"/>
      <c r="E6" s="143"/>
      <c r="F6" s="52">
        <f>IF('120_在庫商品'!B2="",1,0)</f>
        <v>1</v>
      </c>
    </row>
    <row r="7" spans="1:6" ht="24" customHeight="1">
      <c r="A7" s="95">
        <v>6</v>
      </c>
      <c r="B7" s="55" t="s">
        <v>12</v>
      </c>
      <c r="C7" s="56"/>
      <c r="D7" s="56"/>
      <c r="E7" s="143"/>
      <c r="F7" s="52">
        <f>IF('121_貸付金'!B2="",1,0)</f>
        <v>1</v>
      </c>
    </row>
    <row r="8" spans="1:6" ht="24" customHeight="1">
      <c r="A8" s="95">
        <v>7</v>
      </c>
      <c r="B8" s="55" t="s">
        <v>13</v>
      </c>
      <c r="C8" s="56"/>
      <c r="D8" s="56"/>
      <c r="E8" s="143"/>
      <c r="F8" s="52">
        <f>IF('122_不動産'!B2="",1,0)</f>
        <v>1</v>
      </c>
    </row>
    <row r="9" spans="1:6" ht="24" customHeight="1">
      <c r="A9" s="95">
        <v>8</v>
      </c>
      <c r="B9" s="55" t="s">
        <v>16</v>
      </c>
      <c r="C9" s="56"/>
      <c r="D9" s="56"/>
      <c r="E9" s="20"/>
      <c r="F9" s="52">
        <f>IF('123_機械・工具類'!B2="",1,0)</f>
        <v>1</v>
      </c>
    </row>
    <row r="10" spans="1:6" ht="24" customHeight="1">
      <c r="A10" s="95">
        <v>9</v>
      </c>
      <c r="B10" s="55" t="s">
        <v>17</v>
      </c>
      <c r="C10" s="56"/>
      <c r="D10" s="56"/>
      <c r="E10" s="143"/>
      <c r="F10" s="52">
        <f>IF('124_什器備品'!B2="",1,0)</f>
        <v>1</v>
      </c>
    </row>
    <row r="11" spans="1:6" ht="24" customHeight="1">
      <c r="A11" s="95">
        <v>10</v>
      </c>
      <c r="B11" s="55" t="s">
        <v>14</v>
      </c>
      <c r="C11" s="56"/>
      <c r="D11" s="56"/>
      <c r="E11" s="20"/>
      <c r="F11" s="52">
        <f>IF('125_自動車'!B2="",1,0)</f>
        <v>1</v>
      </c>
    </row>
    <row r="12" spans="1:6" ht="24" customHeight="1">
      <c r="A12" s="95">
        <v>11</v>
      </c>
      <c r="B12" s="55" t="s">
        <v>15</v>
      </c>
      <c r="C12" s="56"/>
      <c r="D12" s="56"/>
      <c r="E12" s="143"/>
      <c r="F12" s="52" t="e">
        <f>IF(#REF!="",1,0)</f>
        <v>#REF!</v>
      </c>
    </row>
    <row r="13" spans="1:6" ht="24" customHeight="1">
      <c r="A13" s="95">
        <v>12</v>
      </c>
      <c r="B13" s="55" t="s">
        <v>9</v>
      </c>
      <c r="C13" s="56"/>
      <c r="D13" s="56"/>
      <c r="E13" s="143"/>
      <c r="F13" s="52">
        <f>IF('126_有価証券'!B2="",1,0)</f>
        <v>1</v>
      </c>
    </row>
    <row r="14" spans="1:6" ht="24" customHeight="1">
      <c r="A14" s="95">
        <v>13</v>
      </c>
      <c r="B14" s="55" t="s">
        <v>8</v>
      </c>
      <c r="C14" s="56"/>
      <c r="D14" s="56"/>
      <c r="E14" s="20"/>
      <c r="F14" s="52">
        <f>IF('127_賃借保証金・敷金'!B2="",1,0)</f>
        <v>1</v>
      </c>
    </row>
    <row r="15" spans="1:6" ht="24" customHeight="1">
      <c r="A15" s="95">
        <v>14</v>
      </c>
      <c r="B15" s="55" t="s">
        <v>89</v>
      </c>
      <c r="C15" s="56"/>
      <c r="D15" s="56"/>
      <c r="E15" s="143"/>
      <c r="F15" s="52">
        <f>IF('128_保険'!B2="",1,0)</f>
        <v>1</v>
      </c>
    </row>
    <row r="16" spans="1:6" ht="24" customHeight="1">
      <c r="A16" s="95">
        <v>15</v>
      </c>
      <c r="B16" s="55" t="s">
        <v>71</v>
      </c>
      <c r="C16" s="56"/>
      <c r="D16" s="56"/>
      <c r="E16" s="143"/>
    </row>
    <row r="17" spans="1:6" ht="24" customHeight="1">
      <c r="A17" s="95">
        <v>16</v>
      </c>
      <c r="B17" s="55"/>
      <c r="C17" s="56"/>
      <c r="D17" s="56"/>
      <c r="E17" s="143"/>
      <c r="F17" s="52">
        <f>IF('130_その他'!B2="",1,0)</f>
        <v>1</v>
      </c>
    </row>
    <row r="18" spans="1:6" ht="24" customHeight="1">
      <c r="A18" s="203" t="s">
        <v>55</v>
      </c>
      <c r="B18" s="203"/>
      <c r="C18" s="57">
        <f>SUM(C2:C17)</f>
        <v>0</v>
      </c>
      <c r="D18" s="57">
        <f>SUM(D2:D17)</f>
        <v>0</v>
      </c>
      <c r="E18" s="143"/>
    </row>
    <row r="19" spans="1:6" s="101" customFormat="1" ht="22.5" customHeight="1">
      <c r="A19" s="100"/>
      <c r="B19" s="73"/>
      <c r="C19" s="73"/>
      <c r="D19" s="73"/>
      <c r="E19" s="73"/>
    </row>
    <row r="20" spans="1:6" ht="24" customHeight="1">
      <c r="B20" s="54"/>
      <c r="C20" s="58"/>
      <c r="D20" s="58"/>
      <c r="E20" s="150"/>
    </row>
    <row r="21" spans="1:6" ht="26.25" customHeight="1"/>
  </sheetData>
  <customSheetViews>
    <customSheetView guid="{6F922FB1-F68A-46DE-A607-10E765F3DA60}" scale="90" showPageBreaks="1" fitToPage="1" hiddenColumns="1">
      <pane xSplit="2" ySplit="1" topLeftCell="C2" activePane="bottomRight" state="frozen"/>
      <selection pane="bottomRight" activeCell="B12" sqref="B12"/>
      <pageMargins left="0.78740157480314965" right="0.78740157480314965" top="1.5748031496062993" bottom="0.78740157480314965" header="1.1811023622047245" footer="0.51181102362204722"/>
      <pageSetup paperSize="9" fitToHeight="0" orientation="landscape" horizontalDpi="4294967292" verticalDpi="200" r:id="rId1"/>
      <headerFooter alignWithMargins="0">
        <oddHeader>&amp;C&amp;"ＭＳ Ｐ明朝,太字"&amp;14①　財 産 目 録（総 括 表・法人用）</oddHeader>
        <oddFooter>&amp;R&amp;"ＭＳ Ｐ明朝,標準"＊詳細は各目録のとおり
ver.3.0</oddFooter>
      </headerFooter>
    </customSheetView>
    <customSheetView guid="{3B0C33F4-61B3-4DD1-861F-A18C21F5A24B}" scale="90" showPageBreaks="1" fitToPage="1" hiddenColumns="1">
      <pane xSplit="2" ySplit="1" topLeftCell="C2" activePane="bottomRight" state="frozen"/>
      <selection pane="bottomRight" activeCell="G17" sqref="G17"/>
      <pageMargins left="0.78740157480314965" right="0.78740157480314965" top="1.5748031496062993" bottom="0.78740157480314965" header="1.1811023622047245" footer="0.51181102362204722"/>
      <pageSetup paperSize="9" fitToHeight="0" orientation="landscape" horizontalDpi="4294967292" verticalDpi="200" r:id="rId2"/>
      <headerFooter alignWithMargins="0">
        <oddHeader>&amp;C&amp;"ＭＳ Ｐゴシック,太字"&amp;14①　財 産 目 録（総 括 表・法人用）</oddHeader>
        <oddFooter>&amp;R&amp;"ＭＳ Ｐ明朝,標準"＊詳細は各目録のとおり
ver.4.0</oddFooter>
      </headerFooter>
    </customSheetView>
    <customSheetView guid="{A40A9BDD-82B7-45A5-8C28-2E6774722F71}" scale="90" showPageBreaks="1" fitToPage="1" hiddenColumns="1">
      <pane xSplit="2" ySplit="1" topLeftCell="C2" activePane="bottomRight" state="frozen"/>
      <selection pane="bottomRight" activeCell="E17" sqref="E17"/>
      <pageMargins left="0.78740157480314965" right="0.78740157480314965" top="1.5748031496062993" bottom="0.78740157480314965" header="1.1811023622047245" footer="0.51181102362204722"/>
      <pageSetup paperSize="9" fitToHeight="0" orientation="landscape" horizontalDpi="4294967292" verticalDpi="200" r:id="rId3"/>
      <headerFooter alignWithMargins="0">
        <oddHeader>&amp;C&amp;"ＭＳ Ｐ明朝,太字"&amp;14①　財 産 目 録（総 括 表・法人用）</oddHeader>
        <oddFooter>&amp;R&amp;"ＭＳ Ｐ明朝,標準"＊詳細は各目録のとおり
ver.3.0</oddFooter>
      </headerFooter>
    </customSheetView>
  </customSheetViews>
  <mergeCells count="1">
    <mergeCell ref="A18:B18"/>
  </mergeCells>
  <phoneticPr fontId="5"/>
  <dataValidations count="2">
    <dataValidation imeMode="off" allowBlank="1" showInputMessage="1" showErrorMessage="1" sqref="E19 A20:A65536 F1:IV1048576 C1:D1048576 A1:A18"/>
    <dataValidation imeMode="on" allowBlank="1" showInputMessage="1" showErrorMessage="1" sqref="E20:E65536 B1:B1048576 E1:E18"/>
  </dataValidations>
  <pageMargins left="0.78740157480314965" right="0.78740157480314965" top="1.5748031496062993" bottom="0.78740157480314965" header="1.1811023622047245" footer="0.51181102362204722"/>
  <pageSetup paperSize="9" fitToHeight="0" orientation="landscape" horizontalDpi="4294967292" verticalDpi="200" r:id="rId4"/>
  <headerFooter alignWithMargins="0">
    <oddHeader>&amp;C&amp;"ＭＳ Ｐ明朝,太字"&amp;14①　財 産 目 録（総 括 表・法人用）</oddHeader>
    <oddFooter>&amp;C&amp;P&amp;R&amp;"ＭＳ Ｐ明朝,標準"＊詳細は各目録のとおり
ver.4.0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16"/>
  <sheetViews>
    <sheetView zoomScale="90" zoomScaleNormal="9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30" customHeight="1"/>
  <cols>
    <col min="1" max="1" width="4.625" style="2" bestFit="1" customWidth="1"/>
    <col min="2" max="2" width="19.125" style="2" customWidth="1"/>
    <col min="3" max="3" width="9" style="2" customWidth="1"/>
    <col min="4" max="4" width="9" style="2" bestFit="1" customWidth="1"/>
    <col min="5" max="5" width="20.375" style="69" customWidth="1"/>
    <col min="6" max="6" width="16.25" style="19" customWidth="1"/>
    <col min="7" max="7" width="5" style="2" customWidth="1"/>
    <col min="8" max="8" width="15.25" style="19" bestFit="1" customWidth="1"/>
    <col min="9" max="9" width="5.125" style="2" customWidth="1"/>
    <col min="10" max="10" width="20.75" style="15" customWidth="1"/>
    <col min="11" max="16384" width="27" style="15"/>
  </cols>
  <sheetData>
    <row r="1" spans="1:10" s="88" customFormat="1" ht="30" customHeight="1" thickBot="1">
      <c r="A1" s="103" t="s">
        <v>59</v>
      </c>
      <c r="B1" s="103" t="s">
        <v>79</v>
      </c>
      <c r="C1" s="103" t="s">
        <v>78</v>
      </c>
      <c r="D1" s="103" t="s">
        <v>25</v>
      </c>
      <c r="E1" s="104" t="s">
        <v>80</v>
      </c>
      <c r="F1" s="105" t="s">
        <v>43</v>
      </c>
      <c r="G1" s="106" t="s">
        <v>38</v>
      </c>
      <c r="H1" s="105" t="s">
        <v>44</v>
      </c>
      <c r="I1" s="106" t="s">
        <v>21</v>
      </c>
      <c r="J1" s="106" t="s">
        <v>39</v>
      </c>
    </row>
    <row r="2" spans="1:10" ht="30" customHeight="1" thickTop="1">
      <c r="A2" s="1">
        <v>1</v>
      </c>
      <c r="B2" s="153"/>
      <c r="C2" s="68"/>
      <c r="E2" s="70"/>
      <c r="F2" s="51"/>
      <c r="G2" s="175" t="s">
        <v>63</v>
      </c>
      <c r="H2" s="202" t="str">
        <f>IF(F2="","",F2)</f>
        <v/>
      </c>
      <c r="I2" s="3" t="s">
        <v>111</v>
      </c>
      <c r="J2" s="139"/>
    </row>
    <row r="3" spans="1:10" ht="30" customHeight="1">
      <c r="A3" s="4">
        <v>2</v>
      </c>
      <c r="B3" s="153"/>
      <c r="C3" s="68"/>
      <c r="D3" s="4"/>
      <c r="E3" s="70"/>
      <c r="F3" s="51"/>
      <c r="G3" s="175" t="s">
        <v>102</v>
      </c>
      <c r="H3" s="202" t="str">
        <f>IF(F3="","",F3)</f>
        <v/>
      </c>
      <c r="I3" s="3" t="s">
        <v>111</v>
      </c>
      <c r="J3" s="139"/>
    </row>
    <row r="4" spans="1:10" ht="30" customHeight="1">
      <c r="A4" s="4">
        <v>3</v>
      </c>
      <c r="B4" s="153"/>
      <c r="C4" s="68"/>
      <c r="D4" s="4"/>
      <c r="E4" s="70"/>
      <c r="F4" s="51"/>
      <c r="G4" s="175" t="s">
        <v>63</v>
      </c>
      <c r="H4" s="202" t="str">
        <f t="shared" ref="H4:H13" si="0">IF(F4="","",F4)</f>
        <v/>
      </c>
      <c r="I4" s="3" t="s">
        <v>63</v>
      </c>
      <c r="J4" s="66"/>
    </row>
    <row r="5" spans="1:10" ht="30" customHeight="1">
      <c r="A5" s="4">
        <v>4</v>
      </c>
      <c r="B5" s="153"/>
      <c r="C5" s="68"/>
      <c r="D5" s="4"/>
      <c r="E5" s="70"/>
      <c r="F5" s="51"/>
      <c r="G5" s="175" t="s">
        <v>63</v>
      </c>
      <c r="H5" s="202" t="str">
        <f t="shared" si="0"/>
        <v/>
      </c>
      <c r="I5" s="3" t="s">
        <v>63</v>
      </c>
      <c r="J5" s="66"/>
    </row>
    <row r="6" spans="1:10" ht="30" customHeight="1">
      <c r="A6" s="4">
        <v>5</v>
      </c>
      <c r="B6" s="153"/>
      <c r="C6" s="68"/>
      <c r="D6" s="4"/>
      <c r="E6" s="70"/>
      <c r="F6" s="51"/>
      <c r="G6" s="175" t="s">
        <v>63</v>
      </c>
      <c r="H6" s="202" t="str">
        <f t="shared" si="0"/>
        <v/>
      </c>
      <c r="I6" s="3" t="s">
        <v>63</v>
      </c>
      <c r="J6" s="66"/>
    </row>
    <row r="7" spans="1:10" ht="30" customHeight="1">
      <c r="A7" s="4">
        <v>6</v>
      </c>
      <c r="B7" s="153"/>
      <c r="C7" s="68"/>
      <c r="D7" s="4"/>
      <c r="E7" s="72"/>
      <c r="F7" s="200"/>
      <c r="G7" s="175" t="s">
        <v>63</v>
      </c>
      <c r="H7" s="202" t="str">
        <f t="shared" si="0"/>
        <v/>
      </c>
      <c r="I7" s="3" t="s">
        <v>63</v>
      </c>
      <c r="J7" s="66"/>
    </row>
    <row r="8" spans="1:10" ht="30" customHeight="1">
      <c r="A8" s="4">
        <v>7</v>
      </c>
      <c r="B8" s="153"/>
      <c r="C8" s="68"/>
      <c r="D8" s="4"/>
      <c r="E8" s="72"/>
      <c r="F8" s="200"/>
      <c r="G8" s="175" t="s">
        <v>63</v>
      </c>
      <c r="H8" s="202" t="str">
        <f t="shared" si="0"/>
        <v/>
      </c>
      <c r="I8" s="3" t="s">
        <v>63</v>
      </c>
      <c r="J8" s="66"/>
    </row>
    <row r="9" spans="1:10" ht="30" customHeight="1">
      <c r="A9" s="4">
        <v>8</v>
      </c>
      <c r="B9" s="153"/>
      <c r="C9" s="68"/>
      <c r="D9" s="4"/>
      <c r="E9" s="72"/>
      <c r="F9" s="200"/>
      <c r="G9" s="175" t="s">
        <v>63</v>
      </c>
      <c r="H9" s="202" t="str">
        <f t="shared" si="0"/>
        <v/>
      </c>
      <c r="I9" s="3" t="s">
        <v>63</v>
      </c>
      <c r="J9" s="66"/>
    </row>
    <row r="10" spans="1:10" ht="30" customHeight="1">
      <c r="A10" s="4">
        <v>9</v>
      </c>
      <c r="B10" s="153"/>
      <c r="C10" s="68"/>
      <c r="D10" s="4"/>
      <c r="E10" s="72"/>
      <c r="F10" s="200"/>
      <c r="G10" s="175" t="s">
        <v>63</v>
      </c>
      <c r="H10" s="202" t="str">
        <f t="shared" si="0"/>
        <v/>
      </c>
      <c r="I10" s="3" t="s">
        <v>63</v>
      </c>
      <c r="J10" s="66"/>
    </row>
    <row r="11" spans="1:10" ht="30" customHeight="1">
      <c r="A11" s="4">
        <v>10</v>
      </c>
      <c r="B11" s="153"/>
      <c r="C11" s="68"/>
      <c r="D11" s="4"/>
      <c r="E11" s="72"/>
      <c r="F11" s="200"/>
      <c r="G11" s="175" t="s">
        <v>63</v>
      </c>
      <c r="H11" s="202" t="str">
        <f t="shared" si="0"/>
        <v/>
      </c>
      <c r="I11" s="3" t="s">
        <v>63</v>
      </c>
      <c r="J11" s="66"/>
    </row>
    <row r="12" spans="1:10" ht="30" customHeight="1">
      <c r="A12" s="4">
        <v>11</v>
      </c>
      <c r="B12" s="153"/>
      <c r="C12" s="68"/>
      <c r="D12" s="4"/>
      <c r="E12" s="71"/>
      <c r="F12" s="200"/>
      <c r="G12" s="175" t="s">
        <v>63</v>
      </c>
      <c r="H12" s="202" t="str">
        <f t="shared" si="0"/>
        <v/>
      </c>
      <c r="I12" s="3" t="s">
        <v>63</v>
      </c>
      <c r="J12" s="66"/>
    </row>
    <row r="13" spans="1:10" ht="30" customHeight="1">
      <c r="A13" s="4">
        <v>12</v>
      </c>
      <c r="B13" s="154"/>
      <c r="C13" s="74"/>
      <c r="D13" s="4"/>
      <c r="E13" s="71"/>
      <c r="F13" s="200"/>
      <c r="G13" s="175" t="s">
        <v>63</v>
      </c>
      <c r="H13" s="202" t="str">
        <f t="shared" si="0"/>
        <v/>
      </c>
      <c r="I13" s="7" t="s">
        <v>63</v>
      </c>
      <c r="J13" s="66"/>
    </row>
    <row r="14" spans="1:10" ht="30" customHeight="1">
      <c r="E14" s="102" t="s">
        <v>68</v>
      </c>
      <c r="F14" s="201">
        <f>SUM(F2:F13)</f>
        <v>0</v>
      </c>
      <c r="G14" s="17"/>
      <c r="H14" s="202">
        <f>SUM(H2:H13)</f>
        <v>0</v>
      </c>
      <c r="I14" s="16"/>
    </row>
    <row r="15" spans="1:10" ht="30" customHeight="1">
      <c r="G15" s="17"/>
      <c r="I15" s="17"/>
    </row>
    <row r="16" spans="1:10" ht="30" customHeight="1">
      <c r="G16" s="17"/>
      <c r="I16" s="17"/>
    </row>
  </sheetData>
  <customSheetViews>
    <customSheetView guid="{6F922FB1-F68A-46DE-A607-10E765F3DA60}" scale="90" showPageBreaks="1" fitToPage="1">
      <pane xSplit="2" ySplit="1" topLeftCell="C2" activePane="bottomRight" state="frozen"/>
      <selection pane="bottomRight" activeCell="B4" sqref="B4"/>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Ｐ明朝,太字"&amp;14②　預貯金・積立金目録</oddHeader>
        <oddFooter>&amp;R&amp;"ＭＳ Ｐ明朝,標準"ver.3.0</oddFooter>
      </headerFooter>
    </customSheetView>
    <customSheetView guid="{3B0C33F4-61B3-4DD1-861F-A18C21F5A24B}" scale="90" showPageBreaks="1" fitToPage="1">
      <pane xSplit="2" ySplit="1" topLeftCell="C2" activePane="bottomRight" state="frozen"/>
      <selection pane="bottomRight" activeCell="G17" sqref="G17"/>
      <pageMargins left="0.78740157480314965" right="0.78740157480314965" top="1.5748031496062993" bottom="0.78740157480314965" header="1.1811023622047245" footer="0.51181102362204722"/>
      <pageSetup paperSize="9" fitToHeight="0" orientation="landscape" horizontalDpi="4294967293" verticalDpi="4294967293" r:id="rId2"/>
      <headerFooter alignWithMargins="0">
        <oddHeader>&amp;C&amp;"ＭＳ Ｐ明朝,太字"&amp;14②　預貯金・積立金目録</oddHeader>
        <oddFooter>&amp;R&amp;"ＭＳ Ｐ明朝,標準"ver.4.0</oddFooter>
      </headerFooter>
    </customSheetView>
    <customSheetView guid="{A40A9BDD-82B7-45A5-8C28-2E6774722F71}" scale="90" fitToPage="1">
      <pane xSplit="2" ySplit="1" topLeftCell="C2" activePane="bottomRight" state="frozen"/>
      <selection pane="bottomRight" activeCell="E7" sqref="E7"/>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Ｐ明朝,太字"&amp;14②　預貯金・積立金目録</oddHeader>
        <oddFooter>&amp;R&amp;"ＭＳ Ｐ明朝,標準"ver.3.0</oddFooter>
      </headerFooter>
    </customSheetView>
  </customSheetViews>
  <phoneticPr fontId="6"/>
  <conditionalFormatting sqref="H2:I13">
    <cfRule type="expression" dxfId="13" priority="1" stopIfTrue="1">
      <formula>ISBLANK($F2)</formula>
    </cfRule>
  </conditionalFormatting>
  <dataValidations count="2">
    <dataValidation imeMode="off" allowBlank="1" showInputMessage="1" showErrorMessage="1" sqref="K1:IV1048576 A1:A1048576 F1:F1048576 I14:I1048576 I1 H1:H1048576"/>
    <dataValidation imeMode="on" allowBlank="1" showInputMessage="1" showErrorMessage="1" sqref="G1:G1048576 B1:E1048576 J1:J1048576 I2:I13"/>
  </dataValidations>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Ｐ明朝,太字"&amp;14②　預貯金・積立金目録</oddHeader>
    <oddFooter>&amp;C&amp;P&amp;R&amp;"ＭＳ Ｐ明朝,標準"ver.4.0</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K43"/>
  <sheetViews>
    <sheetView zoomScale="85" zoomScaleNormal="65" workbookViewId="0">
      <pane xSplit="2" ySplit="1" topLeftCell="C2" activePane="bottomRight" state="frozen"/>
      <selection pane="topRight" activeCell="C1" sqref="C1"/>
      <selection pane="bottomLeft" activeCell="A2" sqref="A2"/>
      <selection pane="bottomRight" activeCell="B2" sqref="B2"/>
    </sheetView>
  </sheetViews>
  <sheetFormatPr defaultRowHeight="27" customHeight="1"/>
  <cols>
    <col min="1" max="1" width="4.625" style="36" bestFit="1" customWidth="1"/>
    <col min="2" max="2" width="23.25" style="21" bestFit="1" customWidth="1"/>
    <col min="3" max="3" width="9.5" style="38" bestFit="1" customWidth="1"/>
    <col min="4" max="4" width="34.75" style="37" customWidth="1"/>
    <col min="5" max="5" width="13.875" style="36" bestFit="1" customWidth="1"/>
    <col min="6" max="6" width="18.75" style="36" customWidth="1"/>
    <col min="7" max="7" width="12.625" style="48" customWidth="1"/>
    <col min="8" max="8" width="10.125" style="49" bestFit="1" customWidth="1"/>
    <col min="9" max="9" width="17.625" style="125" customWidth="1"/>
    <col min="10" max="10" width="16" style="126" customWidth="1"/>
    <col min="11" max="11" width="20.75" style="21" customWidth="1"/>
    <col min="12" max="16384" width="9" style="63"/>
  </cols>
  <sheetData>
    <row r="1" spans="1:11" s="89" customFormat="1" ht="32.25" customHeight="1" thickBot="1">
      <c r="A1" s="111" t="s">
        <v>60</v>
      </c>
      <c r="B1" s="112" t="s">
        <v>4</v>
      </c>
      <c r="C1" s="113" t="s">
        <v>0</v>
      </c>
      <c r="D1" s="112" t="s">
        <v>1</v>
      </c>
      <c r="E1" s="111" t="s">
        <v>56</v>
      </c>
      <c r="F1" s="111" t="s">
        <v>3</v>
      </c>
      <c r="G1" s="114" t="s">
        <v>5</v>
      </c>
      <c r="H1" s="115" t="s">
        <v>45</v>
      </c>
      <c r="I1" s="121" t="s">
        <v>81</v>
      </c>
      <c r="J1" s="121" t="s">
        <v>46</v>
      </c>
      <c r="K1" s="112" t="s">
        <v>84</v>
      </c>
    </row>
    <row r="2" spans="1:11" s="62" customFormat="1" ht="27" customHeight="1" thickTop="1">
      <c r="A2" s="22">
        <v>1</v>
      </c>
      <c r="B2" s="151"/>
      <c r="C2" s="23"/>
      <c r="D2" s="24"/>
      <c r="E2" s="25"/>
      <c r="F2" s="25"/>
      <c r="G2" s="180"/>
      <c r="H2" s="26"/>
      <c r="I2" s="122"/>
      <c r="J2" s="123"/>
      <c r="K2" s="144"/>
    </row>
    <row r="3" spans="1:11" s="62" customFormat="1" ht="27" customHeight="1">
      <c r="A3" s="27">
        <v>2</v>
      </c>
      <c r="B3" s="152"/>
      <c r="C3" s="28"/>
      <c r="D3" s="20"/>
      <c r="E3" s="29"/>
      <c r="F3" s="29"/>
      <c r="G3" s="181"/>
      <c r="H3" s="26"/>
      <c r="I3" s="124"/>
      <c r="J3" s="123"/>
      <c r="K3" s="20"/>
    </row>
    <row r="4" spans="1:11" s="62" customFormat="1" ht="27" customHeight="1">
      <c r="A4" s="27">
        <v>3</v>
      </c>
      <c r="B4" s="20"/>
      <c r="C4" s="28"/>
      <c r="D4" s="20"/>
      <c r="E4" s="29"/>
      <c r="F4" s="29"/>
      <c r="G4" s="182"/>
      <c r="H4" s="30"/>
      <c r="I4" s="124"/>
      <c r="J4" s="123"/>
      <c r="K4" s="20"/>
    </row>
    <row r="5" spans="1:11" s="62" customFormat="1" ht="27" customHeight="1">
      <c r="A5" s="27">
        <v>4</v>
      </c>
      <c r="B5" s="20"/>
      <c r="C5" s="28"/>
      <c r="D5" s="20"/>
      <c r="E5" s="29"/>
      <c r="F5" s="29"/>
      <c r="G5" s="182"/>
      <c r="H5" s="30"/>
      <c r="I5" s="124"/>
      <c r="J5" s="123"/>
      <c r="K5" s="20"/>
    </row>
    <row r="6" spans="1:11" s="62" customFormat="1" ht="27" customHeight="1">
      <c r="A6" s="27">
        <v>5</v>
      </c>
      <c r="B6" s="20"/>
      <c r="C6" s="28"/>
      <c r="D6" s="20"/>
      <c r="E6" s="29"/>
      <c r="F6" s="29"/>
      <c r="G6" s="182"/>
      <c r="H6" s="30"/>
      <c r="I6" s="124"/>
      <c r="J6" s="123"/>
      <c r="K6" s="20"/>
    </row>
    <row r="7" spans="1:11" s="62" customFormat="1" ht="27" customHeight="1">
      <c r="A7" s="27">
        <v>6</v>
      </c>
      <c r="B7" s="20"/>
      <c r="C7" s="28"/>
      <c r="D7" s="20"/>
      <c r="E7" s="29"/>
      <c r="F7" s="29"/>
      <c r="G7" s="182"/>
      <c r="H7" s="30"/>
      <c r="I7" s="124"/>
      <c r="J7" s="123"/>
      <c r="K7" s="20"/>
    </row>
    <row r="8" spans="1:11" s="62" customFormat="1" ht="27" customHeight="1">
      <c r="A8" s="27">
        <v>7</v>
      </c>
      <c r="B8" s="20"/>
      <c r="C8" s="28"/>
      <c r="D8" s="20"/>
      <c r="E8" s="29"/>
      <c r="F8" s="29"/>
      <c r="G8" s="182"/>
      <c r="H8" s="30"/>
      <c r="I8" s="124"/>
      <c r="J8" s="123"/>
      <c r="K8" s="20"/>
    </row>
    <row r="9" spans="1:11" s="62" customFormat="1" ht="27" customHeight="1">
      <c r="A9" s="27">
        <v>8</v>
      </c>
      <c r="B9" s="20"/>
      <c r="C9" s="28"/>
      <c r="D9" s="20"/>
      <c r="E9" s="29"/>
      <c r="F9" s="29"/>
      <c r="G9" s="182"/>
      <c r="H9" s="30"/>
      <c r="I9" s="124"/>
      <c r="J9" s="123"/>
      <c r="K9" s="20"/>
    </row>
    <row r="10" spans="1:11" s="62" customFormat="1" ht="27" customHeight="1">
      <c r="A10" s="27">
        <v>9</v>
      </c>
      <c r="B10" s="20"/>
      <c r="C10" s="28"/>
      <c r="D10" s="20"/>
      <c r="E10" s="29"/>
      <c r="F10" s="29"/>
      <c r="G10" s="182"/>
      <c r="H10" s="30"/>
      <c r="I10" s="124"/>
      <c r="J10" s="123"/>
      <c r="K10" s="20"/>
    </row>
    <row r="11" spans="1:11" s="62" customFormat="1" ht="27" customHeight="1">
      <c r="A11" s="27">
        <v>10</v>
      </c>
      <c r="B11" s="20"/>
      <c r="C11" s="28"/>
      <c r="D11" s="20"/>
      <c r="E11" s="29"/>
      <c r="F11" s="29"/>
      <c r="G11" s="182"/>
      <c r="H11" s="30"/>
      <c r="I11" s="124"/>
      <c r="J11" s="123"/>
      <c r="K11" s="20"/>
    </row>
    <row r="12" spans="1:11" s="62" customFormat="1" ht="27" customHeight="1">
      <c r="A12" s="27">
        <v>11</v>
      </c>
      <c r="B12" s="20"/>
      <c r="C12" s="28"/>
      <c r="D12" s="20"/>
      <c r="E12" s="29"/>
      <c r="F12" s="29"/>
      <c r="G12" s="182"/>
      <c r="H12" s="30"/>
      <c r="I12" s="124"/>
      <c r="J12" s="123"/>
      <c r="K12" s="20"/>
    </row>
    <row r="13" spans="1:11" s="62" customFormat="1" ht="27" customHeight="1">
      <c r="A13" s="27">
        <v>12</v>
      </c>
      <c r="B13" s="20"/>
      <c r="C13" s="28"/>
      <c r="D13" s="20"/>
      <c r="E13" s="29"/>
      <c r="F13" s="29"/>
      <c r="G13" s="182"/>
      <c r="H13" s="30"/>
      <c r="I13" s="124"/>
      <c r="J13" s="123"/>
      <c r="K13" s="20"/>
    </row>
    <row r="14" spans="1:11" s="62" customFormat="1" ht="27" customHeight="1">
      <c r="A14" s="27">
        <v>13</v>
      </c>
      <c r="B14" s="20"/>
      <c r="C14" s="28"/>
      <c r="D14" s="20"/>
      <c r="E14" s="29"/>
      <c r="F14" s="29"/>
      <c r="G14" s="182"/>
      <c r="H14" s="30"/>
      <c r="I14" s="124"/>
      <c r="J14" s="123"/>
      <c r="K14" s="20"/>
    </row>
    <row r="15" spans="1:11" s="62" customFormat="1" ht="27" customHeight="1">
      <c r="A15" s="27">
        <v>14</v>
      </c>
      <c r="B15" s="20"/>
      <c r="C15" s="28"/>
      <c r="D15" s="20"/>
      <c r="E15" s="29"/>
      <c r="F15" s="29"/>
      <c r="G15" s="182"/>
      <c r="H15" s="30"/>
      <c r="I15" s="124"/>
      <c r="J15" s="123"/>
      <c r="K15" s="20"/>
    </row>
    <row r="16" spans="1:11" s="62" customFormat="1" ht="27" customHeight="1">
      <c r="A16" s="27">
        <v>15</v>
      </c>
      <c r="B16" s="20"/>
      <c r="C16" s="28"/>
      <c r="D16" s="20"/>
      <c r="E16" s="29"/>
      <c r="F16" s="29"/>
      <c r="G16" s="182"/>
      <c r="H16" s="30"/>
      <c r="I16" s="124"/>
      <c r="J16" s="123"/>
      <c r="K16" s="20"/>
    </row>
    <row r="17" spans="1:11" s="62" customFormat="1" ht="27" customHeight="1">
      <c r="A17" s="27">
        <v>16</v>
      </c>
      <c r="B17" s="20"/>
      <c r="C17" s="28"/>
      <c r="D17" s="20"/>
      <c r="E17" s="29"/>
      <c r="F17" s="29"/>
      <c r="G17" s="182"/>
      <c r="H17" s="30"/>
      <c r="I17" s="124"/>
      <c r="J17" s="123"/>
      <c r="K17" s="20"/>
    </row>
    <row r="18" spans="1:11" s="62" customFormat="1" ht="27" customHeight="1">
      <c r="A18" s="27">
        <v>17</v>
      </c>
      <c r="B18" s="20"/>
      <c r="C18" s="28"/>
      <c r="D18" s="20"/>
      <c r="E18" s="29"/>
      <c r="F18" s="29"/>
      <c r="G18" s="182"/>
      <c r="H18" s="30"/>
      <c r="I18" s="124"/>
      <c r="J18" s="123"/>
      <c r="K18" s="20"/>
    </row>
    <row r="19" spans="1:11" s="62" customFormat="1" ht="27" customHeight="1">
      <c r="A19" s="27">
        <v>18</v>
      </c>
      <c r="B19" s="20"/>
      <c r="C19" s="28"/>
      <c r="D19" s="20"/>
      <c r="E19" s="29"/>
      <c r="F19" s="29"/>
      <c r="G19" s="182"/>
      <c r="H19" s="30"/>
      <c r="I19" s="124"/>
      <c r="J19" s="123"/>
      <c r="K19" s="20"/>
    </row>
    <row r="20" spans="1:11" s="62" customFormat="1" ht="27" customHeight="1">
      <c r="A20" s="27">
        <v>19</v>
      </c>
      <c r="B20" s="20"/>
      <c r="C20" s="28"/>
      <c r="D20" s="20"/>
      <c r="E20" s="29"/>
      <c r="F20" s="29"/>
      <c r="G20" s="182"/>
      <c r="H20" s="30"/>
      <c r="I20" s="124"/>
      <c r="J20" s="123"/>
      <c r="K20" s="20"/>
    </row>
    <row r="21" spans="1:11" s="62" customFormat="1" ht="27" customHeight="1">
      <c r="A21" s="27">
        <v>20</v>
      </c>
      <c r="B21" s="20"/>
      <c r="C21" s="28"/>
      <c r="D21" s="20"/>
      <c r="E21" s="29"/>
      <c r="F21" s="29"/>
      <c r="G21" s="182"/>
      <c r="H21" s="30"/>
      <c r="I21" s="124"/>
      <c r="J21" s="123"/>
      <c r="K21" s="20"/>
    </row>
    <row r="22" spans="1:11" s="62" customFormat="1" ht="27" customHeight="1">
      <c r="A22" s="31"/>
      <c r="B22" s="35"/>
      <c r="C22" s="33"/>
      <c r="D22" s="32"/>
      <c r="E22" s="31"/>
      <c r="F22" s="31"/>
      <c r="G22" s="47"/>
      <c r="H22" s="30" t="s">
        <v>70</v>
      </c>
      <c r="I22" s="123">
        <f>SUM(I2:I21)</f>
        <v>0</v>
      </c>
      <c r="J22" s="123">
        <f>SUM(J2:J21)</f>
        <v>0</v>
      </c>
      <c r="K22" s="35"/>
    </row>
    <row r="23" spans="1:11" s="62" customFormat="1" ht="27" customHeight="1">
      <c r="A23" s="36"/>
      <c r="B23" s="21"/>
      <c r="C23" s="38"/>
      <c r="D23" s="37"/>
      <c r="E23" s="36"/>
      <c r="F23" s="36"/>
      <c r="G23" s="48"/>
      <c r="H23" s="49"/>
      <c r="I23" s="125"/>
      <c r="J23" s="126"/>
      <c r="K23" s="21"/>
    </row>
    <row r="24" spans="1:11" s="62" customFormat="1" ht="27" customHeight="1">
      <c r="A24" s="36"/>
      <c r="B24" s="21"/>
      <c r="C24" s="38"/>
      <c r="D24" s="37"/>
      <c r="E24" s="36"/>
      <c r="F24" s="36"/>
      <c r="G24" s="48"/>
      <c r="H24" s="49"/>
      <c r="I24" s="125"/>
      <c r="J24" s="126"/>
      <c r="K24" s="21"/>
    </row>
    <row r="25" spans="1:11" s="62" customFormat="1" ht="27" customHeight="1">
      <c r="A25" s="36"/>
      <c r="B25" s="21"/>
      <c r="C25" s="38"/>
      <c r="D25" s="37"/>
      <c r="E25" s="36"/>
      <c r="F25" s="36"/>
      <c r="G25" s="48"/>
      <c r="H25" s="49"/>
      <c r="I25" s="125"/>
      <c r="J25" s="126"/>
      <c r="K25" s="21"/>
    </row>
    <row r="26" spans="1:11" s="62" customFormat="1" ht="27" customHeight="1">
      <c r="A26" s="36"/>
      <c r="B26" s="21"/>
      <c r="C26" s="38"/>
      <c r="D26" s="37"/>
      <c r="E26" s="36"/>
      <c r="F26" s="36"/>
      <c r="G26" s="48"/>
      <c r="H26" s="49"/>
      <c r="I26" s="125"/>
      <c r="J26" s="126"/>
      <c r="K26" s="21"/>
    </row>
    <row r="27" spans="1:11" s="62" customFormat="1" ht="27" customHeight="1">
      <c r="A27" s="36"/>
      <c r="B27" s="21"/>
      <c r="C27" s="38"/>
      <c r="D27" s="37"/>
      <c r="E27" s="36"/>
      <c r="F27" s="36"/>
      <c r="G27" s="48"/>
      <c r="H27" s="49"/>
      <c r="I27" s="125"/>
      <c r="J27" s="126"/>
      <c r="K27" s="21"/>
    </row>
    <row r="28" spans="1:11" s="62" customFormat="1" ht="27" customHeight="1">
      <c r="A28" s="36"/>
      <c r="B28" s="21"/>
      <c r="C28" s="38"/>
      <c r="D28" s="37"/>
      <c r="E28" s="36"/>
      <c r="F28" s="36"/>
      <c r="G28" s="48"/>
      <c r="H28" s="49"/>
      <c r="I28" s="125"/>
      <c r="J28" s="126"/>
      <c r="K28" s="21"/>
    </row>
    <row r="29" spans="1:11" s="62" customFormat="1" ht="27" customHeight="1">
      <c r="A29" s="36"/>
      <c r="B29" s="21"/>
      <c r="C29" s="38"/>
      <c r="D29" s="37"/>
      <c r="E29" s="36"/>
      <c r="F29" s="36"/>
      <c r="G29" s="48"/>
      <c r="H29" s="49"/>
      <c r="I29" s="125"/>
      <c r="J29" s="126"/>
      <c r="K29" s="21"/>
    </row>
    <row r="30" spans="1:11" s="62" customFormat="1" ht="27" customHeight="1">
      <c r="A30" s="36"/>
      <c r="B30" s="21"/>
      <c r="C30" s="38"/>
      <c r="D30" s="37"/>
      <c r="E30" s="36"/>
      <c r="F30" s="36"/>
      <c r="G30" s="48"/>
      <c r="H30" s="49"/>
      <c r="I30" s="125"/>
      <c r="J30" s="126"/>
      <c r="K30" s="21"/>
    </row>
    <row r="31" spans="1:11" s="62" customFormat="1" ht="27" customHeight="1">
      <c r="A31" s="36"/>
      <c r="B31" s="21"/>
      <c r="C31" s="38"/>
      <c r="D31" s="37"/>
      <c r="E31" s="36"/>
      <c r="F31" s="36"/>
      <c r="G31" s="48"/>
      <c r="H31" s="49"/>
      <c r="I31" s="125"/>
      <c r="J31" s="126"/>
      <c r="K31" s="21"/>
    </row>
    <row r="32" spans="1:11" s="62" customFormat="1" ht="27" customHeight="1">
      <c r="A32" s="36"/>
      <c r="B32" s="21"/>
      <c r="C32" s="38"/>
      <c r="D32" s="37"/>
      <c r="E32" s="36"/>
      <c r="F32" s="36"/>
      <c r="G32" s="48"/>
      <c r="H32" s="49"/>
      <c r="I32" s="125"/>
      <c r="J32" s="126"/>
      <c r="K32" s="21"/>
    </row>
    <row r="33" spans="1:11" s="62" customFormat="1" ht="27" customHeight="1">
      <c r="A33" s="36"/>
      <c r="B33" s="21"/>
      <c r="C33" s="38"/>
      <c r="D33" s="37"/>
      <c r="E33" s="36"/>
      <c r="F33" s="36"/>
      <c r="G33" s="48"/>
      <c r="H33" s="49"/>
      <c r="I33" s="125"/>
      <c r="J33" s="126"/>
      <c r="K33" s="21"/>
    </row>
    <row r="34" spans="1:11" s="62" customFormat="1" ht="27" customHeight="1">
      <c r="A34" s="36"/>
      <c r="B34" s="21"/>
      <c r="C34" s="38"/>
      <c r="D34" s="37"/>
      <c r="E34" s="36"/>
      <c r="F34" s="36"/>
      <c r="G34" s="48"/>
      <c r="H34" s="49"/>
      <c r="I34" s="125"/>
      <c r="J34" s="126"/>
      <c r="K34" s="21"/>
    </row>
    <row r="35" spans="1:11" s="62" customFormat="1" ht="27" customHeight="1">
      <c r="A35" s="36"/>
      <c r="B35" s="21"/>
      <c r="C35" s="38"/>
      <c r="D35" s="37"/>
      <c r="E35" s="36"/>
      <c r="F35" s="36"/>
      <c r="G35" s="48"/>
      <c r="H35" s="49"/>
      <c r="I35" s="125"/>
      <c r="J35" s="126"/>
      <c r="K35" s="21"/>
    </row>
    <row r="36" spans="1:11" s="62" customFormat="1" ht="27" customHeight="1">
      <c r="A36" s="36"/>
      <c r="B36" s="21"/>
      <c r="C36" s="38"/>
      <c r="D36" s="37"/>
      <c r="E36" s="36"/>
      <c r="F36" s="36"/>
      <c r="G36" s="48"/>
      <c r="H36" s="49"/>
      <c r="I36" s="125"/>
      <c r="J36" s="126"/>
      <c r="K36" s="21"/>
    </row>
    <row r="37" spans="1:11" s="62" customFormat="1" ht="27" customHeight="1">
      <c r="A37" s="36"/>
      <c r="B37" s="21"/>
      <c r="C37" s="38"/>
      <c r="D37" s="37"/>
      <c r="E37" s="36"/>
      <c r="F37" s="36"/>
      <c r="G37" s="48"/>
      <c r="H37" s="49"/>
      <c r="I37" s="125"/>
      <c r="J37" s="126"/>
      <c r="K37" s="21"/>
    </row>
    <row r="38" spans="1:11" s="62" customFormat="1" ht="27" customHeight="1">
      <c r="A38" s="36"/>
      <c r="B38" s="21"/>
      <c r="C38" s="38"/>
      <c r="D38" s="37"/>
      <c r="E38" s="36"/>
      <c r="F38" s="36"/>
      <c r="G38" s="48"/>
      <c r="H38" s="49"/>
      <c r="I38" s="125"/>
      <c r="J38" s="126"/>
      <c r="K38" s="21"/>
    </row>
    <row r="39" spans="1:11" s="62" customFormat="1" ht="27" customHeight="1">
      <c r="A39" s="36"/>
      <c r="B39" s="21"/>
      <c r="C39" s="38"/>
      <c r="D39" s="37"/>
      <c r="E39" s="36"/>
      <c r="F39" s="36"/>
      <c r="G39" s="48"/>
      <c r="H39" s="49"/>
      <c r="I39" s="125"/>
      <c r="J39" s="126"/>
      <c r="K39" s="21"/>
    </row>
    <row r="40" spans="1:11" s="62" customFormat="1" ht="27" customHeight="1">
      <c r="A40" s="36"/>
      <c r="B40" s="21"/>
      <c r="C40" s="38"/>
      <c r="D40" s="37"/>
      <c r="E40" s="36"/>
      <c r="F40" s="36"/>
      <c r="G40" s="48"/>
      <c r="H40" s="49"/>
      <c r="I40" s="125"/>
      <c r="J40" s="126"/>
      <c r="K40" s="21"/>
    </row>
    <row r="43" spans="1:11" s="21" customFormat="1" ht="27" customHeight="1">
      <c r="A43" s="36"/>
      <c r="C43" s="38"/>
      <c r="D43" s="37"/>
      <c r="E43" s="36"/>
      <c r="F43" s="36"/>
      <c r="G43" s="48"/>
      <c r="H43" s="49"/>
      <c r="I43" s="125"/>
      <c r="J43" s="126"/>
    </row>
  </sheetData>
  <customSheetViews>
    <customSheetView guid="{6F922FB1-F68A-46DE-A607-10E765F3DA60}" scale="85" showPageBreaks="1" fitToPage="1">
      <pane xSplit="2" ySplit="1" topLeftCell="C2" activePane="bottomRight" state="frozen"/>
      <selection pane="bottomRight" activeCell="D4" sqref="D4"/>
      <pageMargins left="0.78740157480314965" right="0.78740157480314965" top="1.5748031496062993" bottom="0.78740157480314965" header="1.1811023622047245" footer="0.51181102362204722"/>
      <pageSetup paperSize="9" scale="72" fitToHeight="0" orientation="landscape" horizontalDpi="4294967292" verticalDpi="4294967292" r:id="rId1"/>
      <headerFooter alignWithMargins="0">
        <oddHeader>&amp;C&amp;"ＭＳ Ｐ明朝,太字"&amp;14③　受取手形・小切手目録</oddHeader>
        <oddFooter>&amp;R&amp;"ＭＳ Ｐ明朝,標準"&amp;9割引手形は記載しない。
ver.3.0</oddFooter>
      </headerFooter>
    </customSheetView>
    <customSheetView guid="{3B0C33F4-61B3-4DD1-861F-A18C21F5A24B}" scale="85" showPageBreaks="1" fitToPage="1">
      <pane xSplit="2" ySplit="1" topLeftCell="C8" activePane="bottomRight" state="frozen"/>
      <selection pane="bottomRight" activeCell="G17" sqref="G17"/>
      <pageMargins left="0.78740157480314965" right="0.78740157480314965" top="1.5748031496062993" bottom="0.78740157480314965" header="1.1811023622047245" footer="0.51181102362204722"/>
      <pageSetup paperSize="9" scale="72" fitToHeight="0" orientation="landscape" horizontalDpi="4294967292" verticalDpi="4294967292" r:id="rId2"/>
      <headerFooter alignWithMargins="0">
        <oddHeader>&amp;C&amp;"ＭＳ Ｐ明朝,太字"&amp;14③　受取手形・小切手目録</oddHeader>
        <oddFooter>&amp;R&amp;"ＭＳ Ｐ明朝,標準"割引手形は記載しない。
ver.4.0</oddFooter>
      </headerFooter>
    </customSheetView>
    <customSheetView guid="{A40A9BDD-82B7-45A5-8C28-2E6774722F71}" scale="85" fitToPage="1">
      <pane xSplit="2" ySplit="1" topLeftCell="C2" activePane="bottomRight" state="frozen"/>
      <selection pane="bottomRight" activeCell="H23" sqref="H23"/>
      <pageMargins left="0.78740157480314965" right="0.78740157480314965" top="1.5748031496062993" bottom="0.78740157480314965" header="1.1811023622047245" footer="0.51181102362204722"/>
      <pageSetup paperSize="9" scale="72" fitToHeight="0" orientation="landscape" horizontalDpi="4294967292" verticalDpi="4294967292" r:id="rId3"/>
      <headerFooter alignWithMargins="0">
        <oddHeader>&amp;C&amp;"ＭＳ Ｐ明朝,太字"&amp;14③　受取手形・小切手目録</oddHeader>
        <oddFooter>&amp;R&amp;"ＭＳ Ｐ明朝,標準"&amp;9割引手形は記載しない。
ver.3.0</oddFooter>
      </headerFooter>
    </customSheetView>
  </customSheetViews>
  <phoneticPr fontId="2"/>
  <conditionalFormatting sqref="J2:J21">
    <cfRule type="expression" dxfId="12" priority="1" stopIfTrue="1">
      <formula>ISBLANK($I2)</formula>
    </cfRule>
  </conditionalFormatting>
  <dataValidations count="2">
    <dataValidation imeMode="off" allowBlank="1" showInputMessage="1" showErrorMessage="1" sqref="L1:IV1048576 A1:A1048576 C1:C1048576 E1:F1048576 H1:J1048576"/>
    <dataValidation imeMode="on" allowBlank="1" showInputMessage="1" showErrorMessage="1" sqref="B1:B1048576 D1:D1048576 G1:G1048576 K1:K1048576"/>
  </dataValidations>
  <pageMargins left="0.78740157480314965" right="0.78740157480314965" top="1.5748031496062993" bottom="0.78740157480314965" header="1.1811023622047245" footer="0.51181102362204722"/>
  <pageSetup paperSize="9" scale="72" fitToHeight="0" orientation="landscape" horizontalDpi="4294967292" verticalDpi="4294967292" r:id="rId4"/>
  <headerFooter alignWithMargins="0">
    <oddHeader>&amp;C&amp;"ＭＳ Ｐ明朝,太字"&amp;14③　受取手形・小切手目録</oddHeader>
    <oddFooter>&amp;C&amp;P&amp;R&amp;"ＭＳ Ｐ明朝,標準"&amp;9割引手形は記載しない。
ver.4.0</oddFooter>
  </headerFooter>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I45"/>
  <sheetViews>
    <sheetView zoomScale="85" zoomScaleNormal="65" workbookViewId="0">
      <pane xSplit="2" ySplit="1" topLeftCell="C2" activePane="bottomRight" state="frozen"/>
      <selection pane="topRight" activeCell="C1" sqref="C1"/>
      <selection pane="bottomLeft" activeCell="A2" sqref="A2"/>
      <selection pane="bottomRight" activeCell="B2" sqref="B2"/>
    </sheetView>
  </sheetViews>
  <sheetFormatPr defaultRowHeight="27" customHeight="1"/>
  <cols>
    <col min="1" max="1" width="4.625" style="36" bestFit="1" customWidth="1"/>
    <col min="2" max="2" width="23.25" style="37" bestFit="1" customWidth="1"/>
    <col min="3" max="3" width="9.75" style="38" customWidth="1"/>
    <col min="4" max="4" width="45" style="37" customWidth="1"/>
    <col min="5" max="5" width="16.125" style="36" customWidth="1"/>
    <col min="6" max="6" width="17.25" style="46" customWidth="1"/>
    <col min="7" max="7" width="17" style="46" customWidth="1"/>
    <col min="8" max="8" width="5.125" style="41" customWidth="1"/>
    <col min="9" max="9" width="37.375" style="39" customWidth="1"/>
    <col min="10" max="16384" width="9" style="63"/>
  </cols>
  <sheetData>
    <row r="1" spans="1:9" s="89" customFormat="1" ht="32.25" customHeight="1" thickBot="1">
      <c r="A1" s="111" t="s">
        <v>60</v>
      </c>
      <c r="B1" s="112" t="s">
        <v>2</v>
      </c>
      <c r="C1" s="113" t="s">
        <v>0</v>
      </c>
      <c r="D1" s="112" t="s">
        <v>1</v>
      </c>
      <c r="E1" s="111" t="s">
        <v>57</v>
      </c>
      <c r="F1" s="116" t="s">
        <v>19</v>
      </c>
      <c r="G1" s="116" t="s">
        <v>28</v>
      </c>
      <c r="H1" s="118" t="s">
        <v>52</v>
      </c>
      <c r="I1" s="117" t="s">
        <v>84</v>
      </c>
    </row>
    <row r="2" spans="1:9" s="62" customFormat="1" ht="27" customHeight="1" thickTop="1">
      <c r="A2" s="22">
        <v>1</v>
      </c>
      <c r="B2" s="155"/>
      <c r="C2" s="23"/>
      <c r="D2" s="43"/>
      <c r="E2" s="131"/>
      <c r="F2" s="44"/>
      <c r="G2" s="44"/>
      <c r="H2" s="175" t="s">
        <v>63</v>
      </c>
      <c r="I2" s="140"/>
    </row>
    <row r="3" spans="1:9" s="62" customFormat="1" ht="27" customHeight="1">
      <c r="A3" s="27">
        <v>2</v>
      </c>
      <c r="B3" s="20"/>
      <c r="C3" s="28"/>
      <c r="D3" s="20"/>
      <c r="E3" s="29"/>
      <c r="F3" s="45"/>
      <c r="G3" s="44"/>
      <c r="H3" s="175" t="s">
        <v>111</v>
      </c>
      <c r="I3" s="138"/>
    </row>
    <row r="4" spans="1:9" s="62" customFormat="1" ht="27" customHeight="1">
      <c r="A4" s="27">
        <v>3</v>
      </c>
      <c r="B4" s="20"/>
      <c r="C4" s="28"/>
      <c r="D4" s="20"/>
      <c r="E4" s="29"/>
      <c r="F4" s="45"/>
      <c r="G4" s="44"/>
      <c r="H4" s="175" t="s">
        <v>63</v>
      </c>
      <c r="I4" s="138"/>
    </row>
    <row r="5" spans="1:9" s="62" customFormat="1" ht="27" customHeight="1">
      <c r="A5" s="27">
        <v>4</v>
      </c>
      <c r="B5" s="20"/>
      <c r="C5" s="28"/>
      <c r="D5" s="20"/>
      <c r="E5" s="29"/>
      <c r="F5" s="45"/>
      <c r="G5" s="44"/>
      <c r="H5" s="175" t="s">
        <v>63</v>
      </c>
      <c r="I5" s="138"/>
    </row>
    <row r="6" spans="1:9" s="62" customFormat="1" ht="27" customHeight="1">
      <c r="A6" s="27">
        <v>5</v>
      </c>
      <c r="B6" s="20"/>
      <c r="C6" s="28"/>
      <c r="D6" s="20"/>
      <c r="E6" s="29"/>
      <c r="F6" s="45"/>
      <c r="G6" s="44"/>
      <c r="H6" s="175" t="s">
        <v>63</v>
      </c>
      <c r="I6" s="138"/>
    </row>
    <row r="7" spans="1:9" s="62" customFormat="1" ht="27" customHeight="1">
      <c r="A7" s="27">
        <v>6</v>
      </c>
      <c r="B7" s="20"/>
      <c r="C7" s="28"/>
      <c r="D7" s="20"/>
      <c r="E7" s="29"/>
      <c r="F7" s="45"/>
      <c r="G7" s="44"/>
      <c r="H7" s="175" t="s">
        <v>63</v>
      </c>
      <c r="I7" s="138"/>
    </row>
    <row r="8" spans="1:9" s="62" customFormat="1" ht="27" customHeight="1">
      <c r="A8" s="27">
        <v>7</v>
      </c>
      <c r="B8" s="20"/>
      <c r="C8" s="28"/>
      <c r="D8" s="20"/>
      <c r="E8" s="29"/>
      <c r="F8" s="45"/>
      <c r="G8" s="44"/>
      <c r="H8" s="175" t="s">
        <v>63</v>
      </c>
      <c r="I8" s="138"/>
    </row>
    <row r="9" spans="1:9" s="62" customFormat="1" ht="27" customHeight="1">
      <c r="A9" s="27">
        <v>8</v>
      </c>
      <c r="B9" s="20"/>
      <c r="C9" s="28"/>
      <c r="D9" s="20"/>
      <c r="E9" s="29"/>
      <c r="F9" s="45"/>
      <c r="G9" s="44"/>
      <c r="H9" s="175" t="s">
        <v>63</v>
      </c>
      <c r="I9" s="138"/>
    </row>
    <row r="10" spans="1:9" s="62" customFormat="1" ht="27" customHeight="1">
      <c r="A10" s="27">
        <v>9</v>
      </c>
      <c r="B10" s="20"/>
      <c r="C10" s="28"/>
      <c r="D10" s="20"/>
      <c r="E10" s="29"/>
      <c r="F10" s="45"/>
      <c r="G10" s="44"/>
      <c r="H10" s="175" t="s">
        <v>63</v>
      </c>
      <c r="I10" s="138"/>
    </row>
    <row r="11" spans="1:9" s="62" customFormat="1" ht="27" customHeight="1">
      <c r="A11" s="27">
        <v>10</v>
      </c>
      <c r="B11" s="20"/>
      <c r="C11" s="28"/>
      <c r="D11" s="20"/>
      <c r="E11" s="29"/>
      <c r="F11" s="45"/>
      <c r="G11" s="44"/>
      <c r="H11" s="175" t="s">
        <v>63</v>
      </c>
      <c r="I11" s="138"/>
    </row>
    <row r="12" spans="1:9" s="62" customFormat="1" ht="27" customHeight="1">
      <c r="A12" s="27">
        <v>11</v>
      </c>
      <c r="B12" s="20"/>
      <c r="C12" s="28"/>
      <c r="D12" s="20"/>
      <c r="E12" s="29"/>
      <c r="F12" s="45"/>
      <c r="G12" s="44"/>
      <c r="H12" s="175" t="s">
        <v>63</v>
      </c>
      <c r="I12" s="138"/>
    </row>
    <row r="13" spans="1:9" s="62" customFormat="1" ht="27" customHeight="1">
      <c r="A13" s="27">
        <v>12</v>
      </c>
      <c r="B13" s="20"/>
      <c r="C13" s="28"/>
      <c r="D13" s="20"/>
      <c r="E13" s="29"/>
      <c r="F13" s="45"/>
      <c r="G13" s="44"/>
      <c r="H13" s="175" t="s">
        <v>63</v>
      </c>
      <c r="I13" s="138"/>
    </row>
    <row r="14" spans="1:9" s="62" customFormat="1" ht="27" customHeight="1">
      <c r="A14" s="27">
        <v>13</v>
      </c>
      <c r="B14" s="20"/>
      <c r="C14" s="28"/>
      <c r="D14" s="20"/>
      <c r="E14" s="29"/>
      <c r="F14" s="45"/>
      <c r="G14" s="44"/>
      <c r="H14" s="175" t="s">
        <v>63</v>
      </c>
      <c r="I14" s="138"/>
    </row>
    <row r="15" spans="1:9" s="62" customFormat="1" ht="27" customHeight="1">
      <c r="A15" s="27">
        <v>14</v>
      </c>
      <c r="B15" s="20"/>
      <c r="C15" s="28"/>
      <c r="D15" s="20"/>
      <c r="E15" s="29"/>
      <c r="F15" s="45"/>
      <c r="G15" s="44"/>
      <c r="H15" s="175" t="s">
        <v>63</v>
      </c>
      <c r="I15" s="138"/>
    </row>
    <row r="16" spans="1:9" s="62" customFormat="1" ht="27" customHeight="1">
      <c r="A16" s="27">
        <v>15</v>
      </c>
      <c r="B16" s="20"/>
      <c r="C16" s="28"/>
      <c r="D16" s="20"/>
      <c r="E16" s="29"/>
      <c r="F16" s="45"/>
      <c r="G16" s="44"/>
      <c r="H16" s="175" t="s">
        <v>63</v>
      </c>
      <c r="I16" s="138"/>
    </row>
    <row r="17" spans="1:9" s="62" customFormat="1" ht="27" customHeight="1">
      <c r="A17" s="27">
        <v>16</v>
      </c>
      <c r="B17" s="20"/>
      <c r="C17" s="28"/>
      <c r="D17" s="20"/>
      <c r="E17" s="29"/>
      <c r="F17" s="45"/>
      <c r="G17" s="44"/>
      <c r="H17" s="175" t="s">
        <v>63</v>
      </c>
      <c r="I17" s="138"/>
    </row>
    <row r="18" spans="1:9" s="62" customFormat="1" ht="27" customHeight="1">
      <c r="A18" s="27">
        <v>17</v>
      </c>
      <c r="B18" s="20"/>
      <c r="C18" s="28"/>
      <c r="D18" s="20"/>
      <c r="E18" s="29"/>
      <c r="F18" s="45"/>
      <c r="G18" s="44"/>
      <c r="H18" s="175" t="s">
        <v>63</v>
      </c>
      <c r="I18" s="138"/>
    </row>
    <row r="19" spans="1:9" s="62" customFormat="1" ht="27" customHeight="1">
      <c r="A19" s="27">
        <v>18</v>
      </c>
      <c r="B19" s="20"/>
      <c r="C19" s="28"/>
      <c r="D19" s="20"/>
      <c r="E19" s="29"/>
      <c r="F19" s="45"/>
      <c r="G19" s="44"/>
      <c r="H19" s="175" t="s">
        <v>63</v>
      </c>
      <c r="I19" s="138"/>
    </row>
    <row r="20" spans="1:9" s="62" customFormat="1" ht="27" customHeight="1">
      <c r="A20" s="27">
        <v>19</v>
      </c>
      <c r="B20" s="20"/>
      <c r="C20" s="28"/>
      <c r="D20" s="20"/>
      <c r="E20" s="29"/>
      <c r="F20" s="45"/>
      <c r="G20" s="44"/>
      <c r="H20" s="175" t="s">
        <v>63</v>
      </c>
      <c r="I20" s="138"/>
    </row>
    <row r="21" spans="1:9" s="62" customFormat="1" ht="27" customHeight="1">
      <c r="A21" s="27">
        <v>20</v>
      </c>
      <c r="B21" s="20"/>
      <c r="C21" s="28"/>
      <c r="D21" s="20"/>
      <c r="E21" s="29"/>
      <c r="F21" s="45"/>
      <c r="G21" s="44"/>
      <c r="H21" s="175" t="s">
        <v>63</v>
      </c>
      <c r="I21" s="138"/>
    </row>
    <row r="22" spans="1:9" s="62" customFormat="1" ht="27" customHeight="1">
      <c r="A22" s="31"/>
      <c r="B22" s="32"/>
      <c r="C22" s="33"/>
      <c r="D22" s="32"/>
      <c r="E22" s="29" t="s">
        <v>70</v>
      </c>
      <c r="F22" s="45">
        <f>SUM(F2:F21)</f>
        <v>0</v>
      </c>
      <c r="G22" s="45">
        <f>SUM(G2:G21)</f>
        <v>0</v>
      </c>
      <c r="H22" s="40"/>
      <c r="I22" s="34"/>
    </row>
    <row r="23" spans="1:9" s="62" customFormat="1" ht="27" customHeight="1">
      <c r="A23" s="31"/>
      <c r="B23" s="42"/>
      <c r="C23" s="38"/>
      <c r="D23" s="37"/>
      <c r="E23" s="36"/>
      <c r="F23" s="46"/>
      <c r="G23" s="46"/>
      <c r="H23" s="40"/>
      <c r="I23" s="39"/>
    </row>
    <row r="24" spans="1:9" s="62" customFormat="1" ht="27" customHeight="1">
      <c r="A24" s="36"/>
      <c r="B24" s="37"/>
      <c r="C24" s="38"/>
      <c r="D24" s="37"/>
      <c r="E24" s="36"/>
      <c r="F24" s="46"/>
      <c r="G24" s="46"/>
      <c r="H24" s="40"/>
      <c r="I24" s="39"/>
    </row>
    <row r="25" spans="1:9" s="62" customFormat="1" ht="27" customHeight="1">
      <c r="A25" s="36"/>
      <c r="B25" s="37"/>
      <c r="C25" s="38"/>
      <c r="D25" s="37"/>
      <c r="E25" s="36"/>
      <c r="F25" s="46"/>
      <c r="G25" s="46"/>
      <c r="H25" s="40"/>
      <c r="I25" s="39"/>
    </row>
    <row r="26" spans="1:9" s="62" customFormat="1" ht="27" customHeight="1">
      <c r="A26" s="36"/>
      <c r="B26" s="37"/>
      <c r="C26" s="38"/>
      <c r="D26" s="37"/>
      <c r="E26" s="36"/>
      <c r="F26" s="46"/>
      <c r="G26" s="46"/>
      <c r="H26" s="41"/>
      <c r="I26" s="39"/>
    </row>
    <row r="27" spans="1:9" s="62" customFormat="1" ht="27" customHeight="1">
      <c r="A27" s="36"/>
      <c r="B27" s="37"/>
      <c r="C27" s="38"/>
      <c r="D27" s="37"/>
      <c r="E27" s="36"/>
      <c r="F27" s="46"/>
      <c r="G27" s="46"/>
      <c r="H27" s="41"/>
      <c r="I27" s="39"/>
    </row>
    <row r="28" spans="1:9" s="62" customFormat="1" ht="27" customHeight="1">
      <c r="A28" s="36"/>
      <c r="B28" s="37"/>
      <c r="C28" s="38"/>
      <c r="D28" s="37"/>
      <c r="E28" s="36"/>
      <c r="F28" s="46"/>
      <c r="G28" s="46"/>
      <c r="H28" s="41"/>
      <c r="I28" s="39"/>
    </row>
    <row r="29" spans="1:9" s="62" customFormat="1" ht="27" customHeight="1">
      <c r="A29" s="36"/>
      <c r="B29" s="37"/>
      <c r="C29" s="38"/>
      <c r="D29" s="37"/>
      <c r="E29" s="36"/>
      <c r="F29" s="46"/>
      <c r="G29" s="46"/>
      <c r="H29" s="41"/>
      <c r="I29" s="39"/>
    </row>
    <row r="30" spans="1:9" s="62" customFormat="1" ht="27" customHeight="1">
      <c r="A30" s="36"/>
      <c r="B30" s="37"/>
      <c r="C30" s="38"/>
      <c r="D30" s="37"/>
      <c r="E30" s="36"/>
      <c r="F30" s="46"/>
      <c r="G30" s="46"/>
      <c r="H30" s="41"/>
      <c r="I30" s="39"/>
    </row>
    <row r="31" spans="1:9" s="62" customFormat="1" ht="27" customHeight="1">
      <c r="A31" s="36"/>
      <c r="B31" s="37"/>
      <c r="C31" s="38"/>
      <c r="D31" s="37"/>
      <c r="E31" s="36"/>
      <c r="F31" s="46"/>
      <c r="G31" s="46"/>
      <c r="H31" s="41"/>
      <c r="I31" s="39"/>
    </row>
    <row r="32" spans="1:9" s="62" customFormat="1" ht="27" customHeight="1">
      <c r="A32" s="36"/>
      <c r="B32" s="37"/>
      <c r="C32" s="38"/>
      <c r="D32" s="37"/>
      <c r="E32" s="36"/>
      <c r="F32" s="46"/>
      <c r="G32" s="46"/>
      <c r="H32" s="41"/>
      <c r="I32" s="39"/>
    </row>
    <row r="33" spans="1:9" s="62" customFormat="1" ht="27" customHeight="1">
      <c r="A33" s="36"/>
      <c r="B33" s="37"/>
      <c r="C33" s="38"/>
      <c r="D33" s="37"/>
      <c r="E33" s="36"/>
      <c r="F33" s="46"/>
      <c r="G33" s="46"/>
      <c r="H33" s="41"/>
      <c r="I33" s="39"/>
    </row>
    <row r="34" spans="1:9" s="62" customFormat="1" ht="27" customHeight="1">
      <c r="A34" s="36"/>
      <c r="B34" s="37"/>
      <c r="C34" s="38"/>
      <c r="D34" s="37"/>
      <c r="E34" s="36"/>
      <c r="F34" s="46"/>
      <c r="G34" s="46"/>
      <c r="H34" s="41"/>
      <c r="I34" s="39"/>
    </row>
    <row r="45" spans="1:9" s="21" customFormat="1" ht="27" customHeight="1">
      <c r="A45" s="36"/>
      <c r="B45" s="37"/>
      <c r="C45" s="38"/>
      <c r="D45" s="37"/>
      <c r="E45" s="36"/>
      <c r="F45" s="46"/>
      <c r="G45" s="46"/>
      <c r="H45" s="41"/>
      <c r="I45" s="39"/>
    </row>
  </sheetData>
  <customSheetViews>
    <customSheetView guid="{6F922FB1-F68A-46DE-A607-10E765F3DA60}" scale="85" showPageBreaks="1" fitToPage="1">
      <pane xSplit="2" ySplit="1" topLeftCell="C2" activePane="bottomRight" state="frozen"/>
      <selection pane="bottomRight" activeCell="D14" sqref="D14"/>
      <pageMargins left="0.78740157480314965" right="0.78740157480314965" top="1.5748031496062993" bottom="0.78740157480314965" header="1.1811023622047245" footer="0.51181102362204722"/>
      <pageSetup paperSize="9" scale="75" fitToHeight="0" orientation="landscape" horizontalDpi="4294967292" verticalDpi="4294967292" r:id="rId1"/>
      <headerFooter alignWithMargins="0">
        <oddHeader>&amp;C&amp;"ＭＳ Ｐ明朝,太字"&amp;14④　売掛金目録</oddHeader>
        <oddFooter>&amp;R&amp;"ＭＳ Ｐ明朝,標準"ver.3.0</oddFooter>
      </headerFooter>
    </customSheetView>
    <customSheetView guid="{3B0C33F4-61B3-4DD1-861F-A18C21F5A24B}" scale="85" showPageBreaks="1" fitToPage="1">
      <pane xSplit="2" ySplit="1" topLeftCell="C8" activePane="bottomRight" state="frozen"/>
      <selection pane="bottomRight" activeCell="G17" sqref="G17"/>
      <pageMargins left="0.78740157480314965" right="0.78740157480314965" top="1.5748031496062993" bottom="0.78740157480314965" header="1.1811023622047245" footer="0.51181102362204722"/>
      <pageSetup paperSize="9" scale="75" fitToHeight="0" orientation="landscape" horizontalDpi="4294967292" verticalDpi="4294967292" r:id="rId2"/>
      <headerFooter alignWithMargins="0">
        <oddHeader>&amp;C&amp;"ＭＳ Ｐ明朝,太字"&amp;14④　売掛金目録</oddHeader>
        <oddFooter>&amp;R&amp;"ＭＳ Ｐ明朝,標準"ver.4.0</oddFooter>
      </headerFooter>
    </customSheetView>
    <customSheetView guid="{A40A9BDD-82B7-45A5-8C28-2E6774722F71}" scale="85" fitToPage="1">
      <pane xSplit="2" ySplit="1" topLeftCell="E2" activePane="bottomRight" state="frozen"/>
      <selection pane="bottomRight" activeCell="I1" sqref="I1"/>
      <pageMargins left="0.78740157480314965" right="0.78740157480314965" top="1.5748031496062993" bottom="0.78740157480314965" header="1.1811023622047245" footer="0.51181102362204722"/>
      <pageSetup paperSize="9" scale="75" fitToHeight="0" orientation="landscape" horizontalDpi="4294967292" verticalDpi="4294967292" r:id="rId3"/>
      <headerFooter alignWithMargins="0">
        <oddHeader>&amp;C&amp;"ＭＳ Ｐ明朝,太字"&amp;14④　売掛金目録</oddHeader>
        <oddFooter>&amp;R&amp;"ＭＳ Ｐ明朝,標準"ver.3.0</oddFooter>
      </headerFooter>
    </customSheetView>
  </customSheetViews>
  <phoneticPr fontId="2"/>
  <conditionalFormatting sqref="G2:H21">
    <cfRule type="expression" dxfId="11" priority="1" stopIfTrue="1">
      <formula>ISBLANK($F2)</formula>
    </cfRule>
  </conditionalFormatting>
  <dataValidations count="2">
    <dataValidation imeMode="on" allowBlank="1" showInputMessage="1" showErrorMessage="1" sqref="B1:B1048576 D1:D1048576 I1:I1048576 H2:H21"/>
    <dataValidation imeMode="off" allowBlank="1" showInputMessage="1" showErrorMessage="1" sqref="J1:IV1048576 A1:A1048576 C1:C1048576 E1:G1048576 H1 H22:H1048576"/>
  </dataValidations>
  <pageMargins left="0.78740157480314965" right="0.78740157480314965" top="1.5748031496062993" bottom="0.78740157480314965" header="1.1811023622047245" footer="0.51181102362204722"/>
  <pageSetup paperSize="9" scale="75" fitToHeight="0" orientation="landscape" horizontalDpi="4294967292" verticalDpi="4294967292" r:id="rId4"/>
  <headerFooter alignWithMargins="0">
    <oddHeader>&amp;C&amp;"ＭＳ Ｐ明朝,太字"&amp;14④　売掛金目録</oddHeader>
    <oddFooter>&amp;C&amp;P&amp;R&amp;"ＭＳ Ｐ明朝,標準"ver.4.0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14"/>
  <sheetViews>
    <sheetView zoomScale="90" zoomScaleNormal="9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1.75" style="2" customWidth="1"/>
    <col min="3" max="3" width="6.875" style="2" customWidth="1"/>
    <col min="4" max="4" width="36.75" style="2" customWidth="1"/>
    <col min="5" max="6" width="18.5" style="19" customWidth="1"/>
    <col min="7" max="7" width="40.5" style="15" customWidth="1"/>
    <col min="8" max="16384" width="27" style="15"/>
  </cols>
  <sheetData>
    <row r="1" spans="1:7" s="88" customFormat="1" ht="32.25" customHeight="1" thickBot="1">
      <c r="A1" s="103" t="s">
        <v>60</v>
      </c>
      <c r="B1" s="106" t="s">
        <v>34</v>
      </c>
      <c r="C1" s="106" t="s">
        <v>35</v>
      </c>
      <c r="D1" s="103" t="s">
        <v>33</v>
      </c>
      <c r="E1" s="105" t="s">
        <v>64</v>
      </c>
      <c r="F1" s="105" t="s">
        <v>44</v>
      </c>
      <c r="G1" s="103" t="s">
        <v>50</v>
      </c>
    </row>
    <row r="2" spans="1:7" ht="33.75" customHeight="1" thickTop="1">
      <c r="A2" s="1">
        <v>1</v>
      </c>
      <c r="B2" s="64"/>
      <c r="C2" s="1"/>
      <c r="D2" s="156"/>
      <c r="E2" s="51"/>
      <c r="F2" s="51"/>
      <c r="G2" s="149"/>
    </row>
    <row r="3" spans="1:7" ht="33.75" customHeight="1">
      <c r="A3" s="4">
        <v>2</v>
      </c>
      <c r="B3" s="65"/>
      <c r="C3" s="4"/>
      <c r="D3" s="65"/>
      <c r="E3" s="50"/>
      <c r="F3" s="51"/>
      <c r="G3" s="65"/>
    </row>
    <row r="4" spans="1:7" ht="33.75" customHeight="1">
      <c r="A4" s="4">
        <v>3</v>
      </c>
      <c r="B4" s="65"/>
      <c r="C4" s="4"/>
      <c r="D4" s="65"/>
      <c r="E4" s="50"/>
      <c r="F4" s="51"/>
      <c r="G4" s="65"/>
    </row>
    <row r="5" spans="1:7" ht="33.75" customHeight="1">
      <c r="A5" s="4">
        <v>4</v>
      </c>
      <c r="B5" s="65"/>
      <c r="C5" s="4"/>
      <c r="D5" s="65"/>
      <c r="E5" s="50"/>
      <c r="F5" s="51"/>
      <c r="G5" s="65"/>
    </row>
    <row r="6" spans="1:7" ht="33.75" customHeight="1">
      <c r="A6" s="4">
        <v>5</v>
      </c>
      <c r="B6" s="65"/>
      <c r="C6" s="4"/>
      <c r="D6" s="66"/>
      <c r="E6" s="50"/>
      <c r="F6" s="51"/>
      <c r="G6" s="65"/>
    </row>
    <row r="7" spans="1:7" ht="33.75" customHeight="1">
      <c r="A7" s="4">
        <v>6</v>
      </c>
      <c r="B7" s="65"/>
      <c r="C7" s="4"/>
      <c r="D7" s="65"/>
      <c r="E7" s="50"/>
      <c r="F7" s="51"/>
      <c r="G7" s="65"/>
    </row>
    <row r="8" spans="1:7" ht="33.75" customHeight="1">
      <c r="A8" s="4">
        <v>7</v>
      </c>
      <c r="B8" s="65"/>
      <c r="C8" s="4"/>
      <c r="D8" s="65"/>
      <c r="E8" s="50"/>
      <c r="F8" s="51"/>
      <c r="G8" s="65"/>
    </row>
    <row r="9" spans="1:7" ht="33.75" customHeight="1">
      <c r="A9" s="4">
        <v>8</v>
      </c>
      <c r="B9" s="65"/>
      <c r="C9" s="4"/>
      <c r="D9" s="65"/>
      <c r="E9" s="50"/>
      <c r="F9" s="51"/>
      <c r="G9" s="65"/>
    </row>
    <row r="10" spans="1:7" ht="33.75" customHeight="1">
      <c r="A10" s="4">
        <v>9</v>
      </c>
      <c r="B10" s="145"/>
      <c r="C10" s="9"/>
      <c r="D10" s="145"/>
      <c r="E10" s="157"/>
      <c r="F10" s="51"/>
      <c r="G10" s="65"/>
    </row>
    <row r="11" spans="1:7" ht="33.75" customHeight="1">
      <c r="A11" s="4">
        <v>10</v>
      </c>
      <c r="B11" s="145"/>
      <c r="C11" s="9"/>
      <c r="D11" s="145"/>
      <c r="E11" s="157"/>
      <c r="F11" s="51"/>
      <c r="G11" s="65"/>
    </row>
    <row r="12" spans="1:7" ht="33.75" customHeight="1">
      <c r="A12" s="4">
        <v>11</v>
      </c>
      <c r="B12" s="145"/>
      <c r="C12" s="9"/>
      <c r="D12" s="145"/>
      <c r="E12" s="157"/>
      <c r="F12" s="51"/>
      <c r="G12" s="65"/>
    </row>
    <row r="13" spans="1:7" ht="33.75" customHeight="1">
      <c r="A13" s="4">
        <v>12</v>
      </c>
      <c r="B13" s="65"/>
      <c r="C13" s="4"/>
      <c r="D13" s="65"/>
      <c r="E13" s="50"/>
      <c r="F13" s="51"/>
      <c r="G13" s="65"/>
    </row>
    <row r="14" spans="1:7" ht="33.75" customHeight="1">
      <c r="D14" s="4" t="s">
        <v>68</v>
      </c>
      <c r="E14" s="18">
        <f>SUM(E2:E13)</f>
        <v>0</v>
      </c>
      <c r="F14" s="18">
        <f>SUM(F2:F13)</f>
        <v>0</v>
      </c>
    </row>
  </sheetData>
  <customSheetViews>
    <customSheetView guid="{6F922FB1-F68A-46DE-A607-10E765F3DA60}" scale="90" showPageBreaks="1" fitToPage="1">
      <pane xSplit="2" ySplit="1" topLeftCell="C2" activePane="bottomRight" state="frozen"/>
      <selection pane="bottomRight" activeCell="D8" sqref="D8"/>
      <colBreaks count="3" manualBreakCount="3">
        <brk id="7" max="1048575" man="1"/>
        <brk id="12" max="1048575" man="1"/>
        <brk id="17" max="1048575" man="1"/>
      </colBreaks>
      <pageMargins left="0.78740157480314965" right="0.78740157480314965" top="1.5748031496062993" bottom="0.78740157480314965" header="1.1811023622047245" footer="0.51181102362204722"/>
      <pageSetup paperSize="9" scale="89" fitToHeight="0" orientation="landscape" horizontalDpi="4294967293" verticalDpi="4294967293" r:id="rId1"/>
      <headerFooter alignWithMargins="0">
        <oddHeader>&amp;C&amp;"ＭＳ Ｐ明朝,太字"&amp;14⑤　在庫商品目録</oddHeader>
        <oddFooter>&amp;R&amp;"ＭＳ Ｐ明朝,標準"ver.3.0</oddFooter>
      </headerFooter>
    </customSheetView>
    <customSheetView guid="{3B0C33F4-61B3-4DD1-861F-A18C21F5A24B}" scale="90" showPageBreaks="1" fitToPage="1">
      <pane xSplit="2" ySplit="1" topLeftCell="C5" activePane="bottomRight" state="frozen"/>
      <selection pane="bottomRight" activeCell="G17" sqref="G17"/>
      <colBreaks count="3" manualBreakCount="3">
        <brk id="7" max="1048575" man="1"/>
        <brk id="12" max="1048575" man="1"/>
        <brk id="17" max="1048575" man="1"/>
      </colBreaks>
      <pageMargins left="0.78740157480314965" right="0.78740157480314965" top="1.5748031496062993" bottom="0.78740157480314965" header="1.1811023622047245" footer="0.51181102362204722"/>
      <pageSetup paperSize="9" scale="89" fitToHeight="0" orientation="landscape" horizontalDpi="4294967293" verticalDpi="4294967293" r:id="rId2"/>
      <headerFooter alignWithMargins="0">
        <oddHeader>&amp;C&amp;"ＭＳ Ｐ明朝,太字"&amp;14⑤　在庫商品目録</oddHeader>
        <oddFooter>&amp;R&amp;"ＭＳ Ｐ明朝,標準"ver.4.0</oddFooter>
      </headerFooter>
    </customSheetView>
    <customSheetView guid="{A40A9BDD-82B7-45A5-8C28-2E6774722F71}" scale="90" fitToPage="1">
      <pane xSplit="2" ySplit="1" topLeftCell="C2" activePane="bottomRight" state="frozen"/>
      <selection pane="bottomRight" activeCell="E11" sqref="E11"/>
      <colBreaks count="3" manualBreakCount="3">
        <brk id="7" max="1048575" man="1"/>
        <brk id="12" max="1048575" man="1"/>
        <brk id="17" max="1048575" man="1"/>
      </colBreaks>
      <pageMargins left="0.78740157480314965" right="0.78740157480314965" top="1.5748031496062993" bottom="0.78740157480314965" header="1.1811023622047245" footer="0.51181102362204722"/>
      <pageSetup paperSize="9" scale="89" fitToHeight="0" orientation="landscape" horizontalDpi="4294967293" verticalDpi="4294967293" r:id="rId3"/>
      <headerFooter alignWithMargins="0">
        <oddHeader>&amp;C&amp;"ＭＳ Ｐ明朝,太字"&amp;14⑤　在庫商品目録</oddHeader>
        <oddFooter>&amp;R&amp;"ＭＳ Ｐ明朝,標準"ver.3.0</oddFooter>
      </headerFooter>
    </customSheetView>
  </customSheetViews>
  <phoneticPr fontId="6"/>
  <conditionalFormatting sqref="F2:F13">
    <cfRule type="expression" dxfId="10" priority="1" stopIfTrue="1">
      <formula>ISBLANK($E2)</formula>
    </cfRule>
  </conditionalFormatting>
  <dataValidations count="2">
    <dataValidation imeMode="off" allowBlank="1" showInputMessage="1" showErrorMessage="1" sqref="H1:IV1048576 A1:A1048576 C1:C1048576 E1:F1048576"/>
    <dataValidation imeMode="on" allowBlank="1" showInputMessage="1" showErrorMessage="1" sqref="B1:B1048576 D1:D1048576 G1:G1048576"/>
  </dataValidations>
  <pageMargins left="0.78740157480314965" right="0.78740157480314965" top="1.5748031496062993" bottom="0.78740157480314965" header="1.1811023622047245" footer="0.51181102362204722"/>
  <pageSetup paperSize="9" scale="89" fitToHeight="0" orientation="landscape" horizontalDpi="4294967293" verticalDpi="4294967293" r:id="rId4"/>
  <headerFooter alignWithMargins="0">
    <oddHeader>&amp;C&amp;"ＭＳ Ｐ明朝,太字"&amp;14⑤　在庫商品目録</oddHeader>
    <oddFooter>&amp;C&amp;P&amp;R&amp;"ＭＳ Ｐ明朝,標準"ver.4.0</oddFooter>
  </headerFooter>
  <colBreaks count="3" manualBreakCount="3">
    <brk id="7" max="1048575" man="1"/>
    <brk id="12" max="1048575" man="1"/>
    <brk id="17"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I43"/>
  <sheetViews>
    <sheetView zoomScale="85" zoomScaleNormal="85" workbookViewId="0">
      <pane xSplit="2" ySplit="1" topLeftCell="C2" activePane="bottomRight" state="frozen"/>
      <selection pane="topRight" activeCell="C1" sqref="C1"/>
      <selection pane="bottomLeft" activeCell="A2" sqref="A2"/>
      <selection pane="bottomRight" activeCell="B2" sqref="B2"/>
    </sheetView>
  </sheetViews>
  <sheetFormatPr defaultRowHeight="27" customHeight="1"/>
  <cols>
    <col min="1" max="1" width="4.625" style="36" bestFit="1" customWidth="1"/>
    <col min="2" max="2" width="30.625" style="37" customWidth="1"/>
    <col min="3" max="3" width="9.75" style="38" customWidth="1"/>
    <col min="4" max="4" width="45" style="37" customWidth="1"/>
    <col min="5" max="5" width="13.625" style="36" customWidth="1"/>
    <col min="6" max="6" width="17.25" style="46" customWidth="1"/>
    <col min="7" max="7" width="17" style="46" customWidth="1"/>
    <col min="8" max="8" width="5" style="41" customWidth="1"/>
    <col min="9" max="9" width="21.875" style="39" customWidth="1"/>
    <col min="10" max="16384" width="9" style="63"/>
  </cols>
  <sheetData>
    <row r="1" spans="1:9" s="89" customFormat="1" ht="32.25" customHeight="1" thickBot="1">
      <c r="A1" s="111" t="s">
        <v>60</v>
      </c>
      <c r="B1" s="112" t="s">
        <v>2</v>
      </c>
      <c r="C1" s="113" t="s">
        <v>0</v>
      </c>
      <c r="D1" s="112" t="s">
        <v>1</v>
      </c>
      <c r="E1" s="111" t="s">
        <v>57</v>
      </c>
      <c r="F1" s="116" t="s">
        <v>19</v>
      </c>
      <c r="G1" s="116" t="s">
        <v>28</v>
      </c>
      <c r="H1" s="118" t="s">
        <v>52</v>
      </c>
      <c r="I1" s="117" t="s">
        <v>84</v>
      </c>
    </row>
    <row r="2" spans="1:9" s="62" customFormat="1" ht="27" customHeight="1" thickTop="1">
      <c r="A2" s="22">
        <v>1</v>
      </c>
      <c r="B2" s="158"/>
      <c r="C2" s="159"/>
      <c r="D2" s="160"/>
      <c r="E2" s="132"/>
      <c r="F2" s="119"/>
      <c r="G2" s="44"/>
      <c r="H2" s="175" t="s">
        <v>90</v>
      </c>
      <c r="I2" s="141"/>
    </row>
    <row r="3" spans="1:9" s="62" customFormat="1" ht="27" customHeight="1">
      <c r="A3" s="27">
        <v>2</v>
      </c>
      <c r="B3" s="158"/>
      <c r="C3" s="159"/>
      <c r="D3" s="160"/>
      <c r="E3" s="132"/>
      <c r="F3" s="119"/>
      <c r="G3" s="44"/>
      <c r="H3" s="175" t="s">
        <v>90</v>
      </c>
      <c r="I3" s="137"/>
    </row>
    <row r="4" spans="1:9" s="62" customFormat="1" ht="27" customHeight="1">
      <c r="A4" s="27">
        <v>3</v>
      </c>
      <c r="B4" s="158"/>
      <c r="C4" s="28"/>
      <c r="D4" s="20"/>
      <c r="E4" s="29"/>
      <c r="F4" s="119"/>
      <c r="G4" s="44"/>
      <c r="H4" s="175" t="s">
        <v>90</v>
      </c>
      <c r="I4" s="137"/>
    </row>
    <row r="5" spans="1:9" s="62" customFormat="1" ht="27" customHeight="1">
      <c r="A5" s="27">
        <v>4</v>
      </c>
      <c r="B5" s="20"/>
      <c r="C5" s="28"/>
      <c r="D5" s="20"/>
      <c r="E5" s="29"/>
      <c r="F5" s="120"/>
      <c r="G5" s="44"/>
      <c r="H5" s="175" t="s">
        <v>90</v>
      </c>
      <c r="I5" s="138"/>
    </row>
    <row r="6" spans="1:9" s="62" customFormat="1" ht="27" customHeight="1">
      <c r="A6" s="27">
        <v>5</v>
      </c>
      <c r="B6" s="20"/>
      <c r="C6" s="28"/>
      <c r="D6" s="20"/>
      <c r="E6" s="29"/>
      <c r="F6" s="120"/>
      <c r="G6" s="44"/>
      <c r="H6" s="175" t="s">
        <v>90</v>
      </c>
      <c r="I6" s="138"/>
    </row>
    <row r="7" spans="1:9" s="62" customFormat="1" ht="27" customHeight="1">
      <c r="A7" s="27">
        <v>6</v>
      </c>
      <c r="B7" s="20"/>
      <c r="C7" s="28"/>
      <c r="D7" s="20"/>
      <c r="E7" s="29"/>
      <c r="F7" s="120"/>
      <c r="G7" s="44"/>
      <c r="H7" s="175" t="s">
        <v>90</v>
      </c>
      <c r="I7" s="138"/>
    </row>
    <row r="8" spans="1:9" s="62" customFormat="1" ht="27" customHeight="1">
      <c r="A8" s="27">
        <v>7</v>
      </c>
      <c r="B8" s="20"/>
      <c r="C8" s="28"/>
      <c r="D8" s="20"/>
      <c r="E8" s="29"/>
      <c r="F8" s="120"/>
      <c r="G8" s="44"/>
      <c r="H8" s="175" t="s">
        <v>90</v>
      </c>
      <c r="I8" s="138"/>
    </row>
    <row r="9" spans="1:9" s="62" customFormat="1" ht="27" customHeight="1">
      <c r="A9" s="27">
        <v>8</v>
      </c>
      <c r="B9" s="20"/>
      <c r="C9" s="28"/>
      <c r="D9" s="20"/>
      <c r="E9" s="29"/>
      <c r="F9" s="120"/>
      <c r="G9" s="44"/>
      <c r="H9" s="175" t="s">
        <v>90</v>
      </c>
      <c r="I9" s="138"/>
    </row>
    <row r="10" spans="1:9" s="62" customFormat="1" ht="27" customHeight="1">
      <c r="A10" s="27">
        <v>9</v>
      </c>
      <c r="B10" s="20"/>
      <c r="C10" s="28"/>
      <c r="D10" s="20"/>
      <c r="E10" s="29"/>
      <c r="F10" s="120"/>
      <c r="G10" s="44"/>
      <c r="H10" s="175" t="s">
        <v>90</v>
      </c>
      <c r="I10" s="138"/>
    </row>
    <row r="11" spans="1:9" s="62" customFormat="1" ht="27" customHeight="1">
      <c r="A11" s="27">
        <v>10</v>
      </c>
      <c r="B11" s="20"/>
      <c r="C11" s="28"/>
      <c r="D11" s="20"/>
      <c r="E11" s="29"/>
      <c r="F11" s="45"/>
      <c r="G11" s="44"/>
      <c r="H11" s="175" t="s">
        <v>90</v>
      </c>
      <c r="I11" s="138"/>
    </row>
    <row r="12" spans="1:9" s="62" customFormat="1" ht="27" customHeight="1">
      <c r="A12" s="27">
        <v>11</v>
      </c>
      <c r="B12" s="158"/>
      <c r="C12" s="28"/>
      <c r="D12" s="20"/>
      <c r="E12" s="29"/>
      <c r="F12" s="75"/>
      <c r="G12" s="44"/>
      <c r="H12" s="175" t="s">
        <v>90</v>
      </c>
      <c r="I12" s="137"/>
    </row>
    <row r="13" spans="1:9" s="62" customFormat="1" ht="27" customHeight="1">
      <c r="A13" s="27">
        <v>12</v>
      </c>
      <c r="B13" s="20"/>
      <c r="C13" s="28"/>
      <c r="D13" s="20"/>
      <c r="E13" s="29"/>
      <c r="F13" s="45"/>
      <c r="G13" s="44"/>
      <c r="H13" s="175" t="s">
        <v>90</v>
      </c>
      <c r="I13" s="138"/>
    </row>
    <row r="14" spans="1:9" s="62" customFormat="1" ht="27" customHeight="1">
      <c r="A14" s="27">
        <v>13</v>
      </c>
      <c r="B14" s="20"/>
      <c r="C14" s="28"/>
      <c r="D14" s="20"/>
      <c r="E14" s="29"/>
      <c r="F14" s="45"/>
      <c r="G14" s="44"/>
      <c r="H14" s="175" t="s">
        <v>90</v>
      </c>
      <c r="I14" s="138"/>
    </row>
    <row r="15" spans="1:9" s="62" customFormat="1" ht="27" customHeight="1">
      <c r="A15" s="27">
        <v>14</v>
      </c>
      <c r="B15" s="20"/>
      <c r="C15" s="28"/>
      <c r="D15" s="20"/>
      <c r="E15" s="29"/>
      <c r="F15" s="45"/>
      <c r="G15" s="44"/>
      <c r="H15" s="175" t="s">
        <v>90</v>
      </c>
      <c r="I15" s="138"/>
    </row>
    <row r="16" spans="1:9" s="62" customFormat="1" ht="27" customHeight="1">
      <c r="A16" s="27">
        <v>15</v>
      </c>
      <c r="B16" s="20"/>
      <c r="C16" s="28"/>
      <c r="D16" s="20"/>
      <c r="E16" s="29"/>
      <c r="F16" s="45"/>
      <c r="G16" s="44"/>
      <c r="H16" s="175" t="s">
        <v>90</v>
      </c>
      <c r="I16" s="138"/>
    </row>
    <row r="17" spans="1:9" s="62" customFormat="1" ht="27" customHeight="1">
      <c r="A17" s="27">
        <v>16</v>
      </c>
      <c r="B17" s="20"/>
      <c r="C17" s="28"/>
      <c r="D17" s="20"/>
      <c r="E17" s="29"/>
      <c r="F17" s="45"/>
      <c r="G17" s="44"/>
      <c r="H17" s="175" t="s">
        <v>90</v>
      </c>
      <c r="I17" s="138"/>
    </row>
    <row r="18" spans="1:9" s="62" customFormat="1" ht="27" customHeight="1">
      <c r="A18" s="27">
        <v>17</v>
      </c>
      <c r="B18" s="20"/>
      <c r="C18" s="28"/>
      <c r="D18" s="20"/>
      <c r="E18" s="29"/>
      <c r="F18" s="45"/>
      <c r="G18" s="44"/>
      <c r="H18" s="175" t="s">
        <v>90</v>
      </c>
      <c r="I18" s="138"/>
    </row>
    <row r="19" spans="1:9" s="62" customFormat="1" ht="27" customHeight="1">
      <c r="A19" s="27">
        <v>18</v>
      </c>
      <c r="B19" s="20"/>
      <c r="C19" s="28"/>
      <c r="D19" s="20"/>
      <c r="E19" s="29"/>
      <c r="F19" s="45"/>
      <c r="G19" s="44"/>
      <c r="H19" s="175" t="s">
        <v>90</v>
      </c>
      <c r="I19" s="138"/>
    </row>
    <row r="20" spans="1:9" s="62" customFormat="1" ht="27" customHeight="1">
      <c r="A20" s="27">
        <v>19</v>
      </c>
      <c r="B20" s="20"/>
      <c r="C20" s="28"/>
      <c r="D20" s="20"/>
      <c r="E20" s="29"/>
      <c r="F20" s="45"/>
      <c r="G20" s="44"/>
      <c r="H20" s="175" t="s">
        <v>90</v>
      </c>
      <c r="I20" s="138"/>
    </row>
    <row r="21" spans="1:9" s="62" customFormat="1" ht="27" customHeight="1">
      <c r="A21" s="27">
        <v>20</v>
      </c>
      <c r="B21" s="20"/>
      <c r="C21" s="28"/>
      <c r="D21" s="20"/>
      <c r="E21" s="29"/>
      <c r="F21" s="45"/>
      <c r="G21" s="44"/>
      <c r="H21" s="175" t="s">
        <v>90</v>
      </c>
      <c r="I21" s="138"/>
    </row>
    <row r="22" spans="1:9" s="62" customFormat="1" ht="27" customHeight="1">
      <c r="A22" s="31"/>
      <c r="B22" s="32"/>
      <c r="C22" s="33"/>
      <c r="D22" s="32"/>
      <c r="E22" s="29" t="s">
        <v>70</v>
      </c>
      <c r="F22" s="45">
        <f>SUM(F2:F21)</f>
        <v>0</v>
      </c>
      <c r="G22" s="45">
        <f>SUM(G2:G21)</f>
        <v>0</v>
      </c>
      <c r="H22" s="40"/>
      <c r="I22" s="34"/>
    </row>
    <row r="23" spans="1:9" s="62" customFormat="1" ht="27" customHeight="1">
      <c r="A23" s="36"/>
      <c r="B23" s="37"/>
      <c r="C23" s="38"/>
      <c r="D23" s="37"/>
      <c r="E23" s="36"/>
      <c r="F23" s="46"/>
      <c r="G23" s="46"/>
      <c r="H23" s="41"/>
      <c r="I23" s="39"/>
    </row>
    <row r="24" spans="1:9" s="62" customFormat="1" ht="27" customHeight="1">
      <c r="A24" s="36"/>
      <c r="B24" s="37"/>
      <c r="C24" s="38"/>
      <c r="D24" s="37"/>
      <c r="E24" s="36"/>
      <c r="F24" s="46"/>
      <c r="G24" s="46"/>
      <c r="H24" s="41"/>
      <c r="I24" s="39"/>
    </row>
    <row r="25" spans="1:9" s="62" customFormat="1" ht="27" customHeight="1">
      <c r="A25" s="36"/>
      <c r="B25" s="37"/>
      <c r="C25" s="38"/>
      <c r="D25" s="37"/>
      <c r="E25" s="36"/>
      <c r="F25" s="46"/>
      <c r="G25" s="46"/>
      <c r="H25" s="41"/>
      <c r="I25" s="39"/>
    </row>
    <row r="26" spans="1:9" s="62" customFormat="1" ht="27" customHeight="1">
      <c r="A26" s="36"/>
      <c r="B26" s="37"/>
      <c r="C26" s="38"/>
      <c r="D26" s="37"/>
      <c r="E26" s="36"/>
      <c r="F26" s="46"/>
      <c r="G26" s="46"/>
      <c r="H26" s="41"/>
      <c r="I26" s="39"/>
    </row>
    <row r="27" spans="1:9" s="62" customFormat="1" ht="27" customHeight="1">
      <c r="A27" s="36"/>
      <c r="B27" s="37"/>
      <c r="C27" s="38"/>
      <c r="D27" s="37"/>
      <c r="E27" s="36"/>
      <c r="F27" s="46"/>
      <c r="G27" s="46"/>
      <c r="H27" s="41"/>
      <c r="I27" s="39"/>
    </row>
    <row r="28" spans="1:9" s="62" customFormat="1" ht="27" customHeight="1">
      <c r="A28" s="36"/>
      <c r="B28" s="37"/>
      <c r="C28" s="38"/>
      <c r="D28" s="37"/>
      <c r="E28" s="36"/>
      <c r="F28" s="46"/>
      <c r="G28" s="46"/>
      <c r="H28" s="41"/>
      <c r="I28" s="39"/>
    </row>
    <row r="29" spans="1:9" s="62" customFormat="1" ht="27" customHeight="1">
      <c r="A29" s="36"/>
      <c r="B29" s="37"/>
      <c r="C29" s="38"/>
      <c r="D29" s="37"/>
      <c r="E29" s="36"/>
      <c r="F29" s="46"/>
      <c r="G29" s="46"/>
      <c r="H29" s="41"/>
      <c r="I29" s="39"/>
    </row>
    <row r="30" spans="1:9" s="62" customFormat="1" ht="27" customHeight="1">
      <c r="A30" s="36"/>
      <c r="B30" s="37"/>
      <c r="C30" s="38"/>
      <c r="D30" s="37"/>
      <c r="E30" s="36"/>
      <c r="F30" s="46"/>
      <c r="G30" s="46"/>
      <c r="H30" s="41"/>
      <c r="I30" s="39"/>
    </row>
    <row r="31" spans="1:9" s="62" customFormat="1" ht="27" customHeight="1">
      <c r="A31" s="36"/>
      <c r="B31" s="37"/>
      <c r="C31" s="38"/>
      <c r="D31" s="37"/>
      <c r="E31" s="36"/>
      <c r="F31" s="46"/>
      <c r="G31" s="46"/>
      <c r="H31" s="41"/>
      <c r="I31" s="39"/>
    </row>
    <row r="32" spans="1:9" s="62" customFormat="1" ht="27" customHeight="1">
      <c r="A32" s="36"/>
      <c r="B32" s="37"/>
      <c r="C32" s="38"/>
      <c r="D32" s="37"/>
      <c r="E32" s="36"/>
      <c r="F32" s="46"/>
      <c r="G32" s="46"/>
      <c r="H32" s="41"/>
      <c r="I32" s="39"/>
    </row>
    <row r="33" spans="1:9" s="62" customFormat="1" ht="27" customHeight="1">
      <c r="A33" s="36"/>
      <c r="B33" s="37"/>
      <c r="C33" s="38"/>
      <c r="D33" s="37"/>
      <c r="E33" s="36"/>
      <c r="F33" s="46"/>
      <c r="G33" s="46"/>
      <c r="H33" s="41"/>
      <c r="I33" s="39"/>
    </row>
    <row r="34" spans="1:9" s="62" customFormat="1" ht="27" customHeight="1">
      <c r="A34" s="36"/>
      <c r="B34" s="37"/>
      <c r="C34" s="38"/>
      <c r="D34" s="37"/>
      <c r="E34" s="36"/>
      <c r="F34" s="46"/>
      <c r="G34" s="46"/>
      <c r="H34" s="41"/>
      <c r="I34" s="39"/>
    </row>
    <row r="35" spans="1:9" s="62" customFormat="1" ht="27" customHeight="1">
      <c r="A35" s="36"/>
      <c r="B35" s="37"/>
      <c r="C35" s="38"/>
      <c r="D35" s="37"/>
      <c r="E35" s="36"/>
      <c r="F35" s="46"/>
      <c r="G35" s="46"/>
      <c r="H35" s="41"/>
      <c r="I35" s="39"/>
    </row>
    <row r="43" spans="1:9" s="21" customFormat="1" ht="27" customHeight="1">
      <c r="A43" s="36"/>
      <c r="B43" s="37"/>
      <c r="C43" s="38"/>
      <c r="D43" s="37"/>
      <c r="E43" s="36"/>
      <c r="F43" s="46"/>
      <c r="G43" s="46"/>
      <c r="H43" s="41"/>
      <c r="I43" s="39"/>
    </row>
  </sheetData>
  <customSheetViews>
    <customSheetView guid="{6F922FB1-F68A-46DE-A607-10E765F3DA60}" scale="85" showPageBreaks="1" fitToPage="1">
      <pane xSplit="2" ySplit="1" topLeftCell="C2" activePane="bottomRight" state="frozen"/>
      <selection pane="bottomRight" activeCell="C4" sqref="C4"/>
      <pageMargins left="0.78740157480314965" right="0.78740157480314965" top="1.1811023622047245" bottom="0.78740157480314965" header="0.78740157480314965" footer="0.51181102362204722"/>
      <pageSetup paperSize="9" scale="79" fitToHeight="0" orientation="landscape" horizontalDpi="4294967292" verticalDpi="4294967292" r:id="rId1"/>
      <headerFooter alignWithMargins="0">
        <oddHeader>&amp;C&amp;"ＭＳ Ｐ明朝,太字"&amp;14⑥　貸付金目録</oddHeader>
        <oddFooter>&amp;R&amp;"ＭＳ Ｐ明朝,標準"ver.3.0</oddFooter>
      </headerFooter>
    </customSheetView>
    <customSheetView guid="{3B0C33F4-61B3-4DD1-861F-A18C21F5A24B}" scale="85" showPageBreaks="1" fitToPage="1">
      <pane xSplit="2" ySplit="1" topLeftCell="C8" activePane="bottomRight" state="frozen"/>
      <selection pane="bottomRight" activeCell="G17" sqref="G17"/>
      <pageMargins left="0.78740157480314965" right="0.78740157480314965" top="1.5748031496062993" bottom="0.78740157480314965" header="1.1811023622047245" footer="0.51181102362204722"/>
      <pageSetup paperSize="9" scale="79" fitToHeight="0" orientation="landscape" horizontalDpi="4294967292" verticalDpi="4294967292" r:id="rId2"/>
      <headerFooter alignWithMargins="0">
        <oddHeader>&amp;C&amp;"ＭＳ Ｐ明朝,太字"&amp;14⑥　貸付金目録</oddHeader>
        <oddFooter>&amp;R&amp;"ＭＳ Ｐ明朝,標準"ver.4.0</oddFooter>
      </headerFooter>
    </customSheetView>
    <customSheetView guid="{A40A9BDD-82B7-45A5-8C28-2E6774722F71}" scale="85" fitToPage="1">
      <pane xSplit="2" ySplit="1" topLeftCell="C2" activePane="bottomRight" state="frozen"/>
      <selection pane="bottomRight" activeCell="K14" sqref="K14"/>
      <pageMargins left="0.78740157480314965" right="0.78740157480314965" top="1.1811023622047245" bottom="0.78740157480314965" header="0.78740157480314965" footer="0.51181102362204722"/>
      <pageSetup paperSize="9" scale="79" fitToHeight="0" orientation="landscape" horizontalDpi="4294967292" verticalDpi="4294967292" r:id="rId3"/>
      <headerFooter alignWithMargins="0">
        <oddHeader>&amp;C&amp;"ＭＳ Ｐ明朝,太字"&amp;14⑥　貸付金目録</oddHeader>
        <oddFooter>&amp;R&amp;"ＭＳ Ｐ明朝,標準"ver.3.0</oddFooter>
      </headerFooter>
    </customSheetView>
  </customSheetViews>
  <phoneticPr fontId="2"/>
  <conditionalFormatting sqref="G2:H21">
    <cfRule type="expression" dxfId="9" priority="1" stopIfTrue="1">
      <formula>ISBLANK($F2)</formula>
    </cfRule>
  </conditionalFormatting>
  <dataValidations count="2">
    <dataValidation imeMode="off" allowBlank="1" showInputMessage="1" showErrorMessage="1" sqref="J1:IV1048576 A1:A1048576 C1:C1048576 E1:G1048576 H1 H22:H1048576"/>
    <dataValidation imeMode="on" allowBlank="1" showInputMessage="1" showErrorMessage="1" sqref="B1:B1048576 D1:D1048576 I1:I1048576 H2:H21"/>
  </dataValidations>
  <pageMargins left="0.78740157480314965" right="0.78740157480314965" top="1.1811023622047245" bottom="0.78740157480314965" header="0.78740157480314965" footer="0.51181102362204722"/>
  <pageSetup paperSize="9" scale="79" fitToHeight="0" orientation="landscape" horizontalDpi="4294967292" verticalDpi="4294967292" r:id="rId4"/>
  <headerFooter alignWithMargins="0">
    <oddHeader>&amp;C&amp;"ＭＳ Ｐ明朝,太字"&amp;14⑥　貸付金目録</oddHeader>
    <oddFooter>&amp;C&amp;P&amp;R&amp;"ＭＳ Ｐ明朝,標準"ver.4.0</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L14"/>
  <sheetViews>
    <sheetView zoomScale="80" zoomScaleNormal="80" zoomScaleSheetLayoutView="85" workbookViewId="0">
      <pane xSplit="3" ySplit="1" topLeftCell="D2" activePane="bottomRight" state="frozen"/>
      <selection pane="topRight" activeCell="D1" sqref="D1"/>
      <selection pane="bottomLeft" activeCell="A2" sqref="A2"/>
      <selection pane="bottomRight" activeCell="B2" sqref="B2"/>
    </sheetView>
  </sheetViews>
  <sheetFormatPr defaultColWidth="27" defaultRowHeight="27" customHeight="1"/>
  <cols>
    <col min="1" max="1" width="4.625" style="2" customWidth="1"/>
    <col min="2" max="2" width="8.375" style="2" customWidth="1"/>
    <col min="3" max="3" width="30.875" style="2" customWidth="1"/>
    <col min="4" max="4" width="17.75" style="2" bestFit="1" customWidth="1"/>
    <col min="5" max="5" width="16.375" style="19" customWidth="1"/>
    <col min="6" max="6" width="13.875" style="19" customWidth="1"/>
    <col min="7" max="7" width="13.5" style="19" customWidth="1"/>
    <col min="8" max="10" width="5" style="15" customWidth="1"/>
    <col min="11" max="11" width="31.25" style="15" customWidth="1"/>
    <col min="12" max="16384" width="27" style="15"/>
  </cols>
  <sheetData>
    <row r="1" spans="1:12" s="88" customFormat="1" ht="83.25" thickBot="1">
      <c r="A1" s="103" t="s">
        <v>60</v>
      </c>
      <c r="B1" s="103" t="s">
        <v>25</v>
      </c>
      <c r="C1" s="103" t="s">
        <v>26</v>
      </c>
      <c r="D1" s="107" t="s">
        <v>61</v>
      </c>
      <c r="E1" s="108" t="s">
        <v>91</v>
      </c>
      <c r="F1" s="109" t="s">
        <v>27</v>
      </c>
      <c r="G1" s="109" t="s">
        <v>44</v>
      </c>
      <c r="H1" s="110" t="s">
        <v>65</v>
      </c>
      <c r="I1" s="110" t="s">
        <v>47</v>
      </c>
      <c r="J1" s="110" t="s">
        <v>96</v>
      </c>
      <c r="K1" s="103" t="s">
        <v>20</v>
      </c>
    </row>
    <row r="2" spans="1:12" ht="36" customHeight="1" thickTop="1">
      <c r="A2" s="1">
        <v>1</v>
      </c>
      <c r="B2" s="4"/>
      <c r="C2" s="161"/>
      <c r="D2" s="71"/>
      <c r="E2" s="50"/>
      <c r="F2" s="194"/>
      <c r="G2" s="196"/>
      <c r="H2" s="175" t="s">
        <v>63</v>
      </c>
      <c r="I2" s="198" t="s">
        <v>63</v>
      </c>
      <c r="J2" s="198" t="s">
        <v>63</v>
      </c>
      <c r="K2" s="199"/>
    </row>
    <row r="3" spans="1:12" ht="36" customHeight="1">
      <c r="A3" s="4">
        <v>2</v>
      </c>
      <c r="B3" s="4"/>
      <c r="C3" s="161"/>
      <c r="D3" s="71"/>
      <c r="E3" s="50"/>
      <c r="F3" s="195"/>
      <c r="G3" s="197"/>
      <c r="H3" s="175" t="s">
        <v>110</v>
      </c>
      <c r="I3" s="184" t="s">
        <v>110</v>
      </c>
      <c r="J3" s="184" t="s">
        <v>110</v>
      </c>
      <c r="K3" s="65"/>
    </row>
    <row r="4" spans="1:12" ht="36" customHeight="1">
      <c r="A4" s="4">
        <v>3</v>
      </c>
      <c r="B4" s="179"/>
      <c r="C4" s="161"/>
      <c r="D4" s="71"/>
      <c r="E4" s="50"/>
      <c r="F4" s="192"/>
      <c r="G4" s="193"/>
      <c r="H4" s="175" t="s">
        <v>110</v>
      </c>
      <c r="I4" s="191" t="s">
        <v>110</v>
      </c>
      <c r="J4" s="191" t="s">
        <v>110</v>
      </c>
      <c r="K4" s="190"/>
    </row>
    <row r="5" spans="1:12" ht="36" customHeight="1">
      <c r="A5" s="4">
        <v>4</v>
      </c>
      <c r="B5" s="4"/>
      <c r="C5" s="161"/>
      <c r="D5" s="71"/>
      <c r="E5" s="50"/>
      <c r="F5" s="18"/>
      <c r="G5" s="18"/>
      <c r="H5" s="175" t="s">
        <v>110</v>
      </c>
      <c r="I5" s="184" t="s">
        <v>110</v>
      </c>
      <c r="J5" s="175" t="s">
        <v>63</v>
      </c>
      <c r="K5" s="66"/>
      <c r="L5" s="178"/>
    </row>
    <row r="6" spans="1:12" ht="35.25" customHeight="1">
      <c r="A6" s="4">
        <v>5</v>
      </c>
      <c r="B6" s="4"/>
      <c r="C6" s="161"/>
      <c r="D6" s="71"/>
      <c r="E6" s="50"/>
      <c r="F6" s="183"/>
      <c r="G6" s="183"/>
      <c r="H6" s="187" t="s">
        <v>63</v>
      </c>
      <c r="I6" s="175" t="s">
        <v>63</v>
      </c>
      <c r="J6" s="175" t="s">
        <v>63</v>
      </c>
      <c r="K6" s="139"/>
    </row>
    <row r="7" spans="1:12" ht="35.25" customHeight="1">
      <c r="A7" s="4">
        <v>6</v>
      </c>
      <c r="B7" s="4"/>
      <c r="C7" s="161"/>
      <c r="D7" s="71"/>
      <c r="E7" s="50"/>
      <c r="F7" s="50"/>
      <c r="G7" s="51"/>
      <c r="H7" s="175" t="s">
        <v>63</v>
      </c>
      <c r="I7" s="175" t="s">
        <v>63</v>
      </c>
      <c r="J7" s="175" t="s">
        <v>63</v>
      </c>
      <c r="K7" s="65"/>
    </row>
    <row r="8" spans="1:12" ht="35.25" customHeight="1">
      <c r="A8" s="4">
        <v>7</v>
      </c>
      <c r="B8" s="4"/>
      <c r="C8" s="161"/>
      <c r="D8" s="71"/>
      <c r="E8" s="50"/>
      <c r="F8" s="50"/>
      <c r="G8" s="51"/>
      <c r="H8" s="175" t="s">
        <v>63</v>
      </c>
      <c r="I8" s="175" t="s">
        <v>63</v>
      </c>
      <c r="J8" s="175" t="s">
        <v>63</v>
      </c>
      <c r="K8" s="65"/>
    </row>
    <row r="9" spans="1:12" ht="35.25" customHeight="1">
      <c r="A9" s="4">
        <v>8</v>
      </c>
      <c r="B9" s="4"/>
      <c r="C9" s="161"/>
      <c r="D9" s="71"/>
      <c r="E9" s="50"/>
      <c r="F9" s="50"/>
      <c r="G9" s="51"/>
      <c r="H9" s="175" t="s">
        <v>63</v>
      </c>
      <c r="I9" s="175" t="s">
        <v>63</v>
      </c>
      <c r="J9" s="175" t="s">
        <v>63</v>
      </c>
      <c r="K9" s="66"/>
    </row>
    <row r="10" spans="1:12" ht="35.25" customHeight="1">
      <c r="A10" s="4">
        <v>9</v>
      </c>
      <c r="B10" s="4"/>
      <c r="C10" s="161"/>
      <c r="D10" s="71"/>
      <c r="E10" s="50"/>
      <c r="F10" s="50"/>
      <c r="G10" s="51"/>
      <c r="H10" s="175" t="s">
        <v>63</v>
      </c>
      <c r="I10" s="175" t="s">
        <v>63</v>
      </c>
      <c r="J10" s="175" t="s">
        <v>63</v>
      </c>
      <c r="K10" s="65"/>
    </row>
    <row r="11" spans="1:12" ht="35.25" customHeight="1">
      <c r="A11" s="4">
        <v>10</v>
      </c>
      <c r="B11" s="4"/>
      <c r="C11" s="161"/>
      <c r="D11" s="71"/>
      <c r="E11" s="50"/>
      <c r="F11" s="50"/>
      <c r="G11" s="51"/>
      <c r="H11" s="175" t="s">
        <v>63</v>
      </c>
      <c r="I11" s="175" t="s">
        <v>63</v>
      </c>
      <c r="J11" s="175" t="s">
        <v>63</v>
      </c>
      <c r="K11" s="65"/>
    </row>
    <row r="12" spans="1:12" ht="35.25" customHeight="1">
      <c r="D12" s="4" t="s">
        <v>68</v>
      </c>
      <c r="E12" s="18">
        <f>SUM(E2:E11)</f>
        <v>0</v>
      </c>
      <c r="F12" s="18">
        <f>SUM(F2:F11)</f>
        <v>0</v>
      </c>
      <c r="G12" s="18">
        <f>SUM(G2:G11)</f>
        <v>0</v>
      </c>
      <c r="H12" s="13"/>
      <c r="I12" s="13"/>
      <c r="J12" s="13"/>
    </row>
    <row r="13" spans="1:12" ht="27" customHeight="1">
      <c r="H13" s="13"/>
      <c r="I13" s="13"/>
      <c r="J13" s="13"/>
    </row>
    <row r="14" spans="1:12" ht="27" customHeight="1">
      <c r="H14" s="13"/>
      <c r="I14" s="13"/>
      <c r="J14" s="13"/>
    </row>
  </sheetData>
  <dataConsolidate/>
  <customSheetViews>
    <customSheetView guid="{6F922FB1-F68A-46DE-A607-10E765F3DA60}" scale="80" showPageBreaks="1" fitToPage="1">
      <pane xSplit="3" ySplit="1" topLeftCell="D2" activePane="bottomRight" state="frozen"/>
      <selection pane="bottomRight" activeCell="F2" sqref="F2"/>
      <pageMargins left="0.78740157480314965" right="0.78740157480314965" top="1.5748031496062993" bottom="0.78740157480314965" header="1.1811023622047245" footer="0.51181102362204722"/>
      <pageSetup paperSize="9" scale="86" fitToHeight="0" orientation="landscape" horizontalDpi="4294967293" verticalDpi="4294967293" r:id="rId1"/>
      <headerFooter alignWithMargins="0">
        <oddHeader>&amp;C&amp;"ＭＳ Ｐ明朝,太字"&amp;14⑦　不動産目録</oddHeader>
        <oddFooter>&amp;R&amp;"ＭＳ Ｐ明朝,標準"&amp;9回収見込額については、固定資産評価証明書における評価額ないし査定価格と被担保債権額の差額を記載する。
共同担保物件における被担保債権の算出において、重複して計算しないよう注意する。
ver.3.0</oddFooter>
      </headerFooter>
    </customSheetView>
    <customSheetView guid="{3B0C33F4-61B3-4DD1-861F-A18C21F5A24B}" scale="80" showPageBreaks="1" fitToPage="1">
      <pane xSplit="3" ySplit="1" topLeftCell="D5" activePane="bottomRight" state="frozen"/>
      <selection pane="bottomRight" activeCell="G17" sqref="G17"/>
      <pageMargins left="0.78740157480314965" right="0.78740157480314965" top="1.5748031496062993" bottom="0.78740157480314965" header="1.1811023622047245" footer="0.51181102362204722"/>
      <pageSetup paperSize="9" scale="86" fitToHeight="0" orientation="landscape" horizontalDpi="4294967293" verticalDpi="4294967293" r:id="rId2"/>
      <headerFooter alignWithMargins="0">
        <oddHeader>&amp;C&amp;"ＭＳ Ｐ明朝,太字"&amp;14⑦　不動産目録</oddHeader>
        <oddFooter>&amp;R&amp;"ＭＳ Ｐ明朝,標準"回収見込額については、固定資産評価証明書における評価額ないし査定価格と被担保債権額の差額を記載する。
共同担保物件における被担保債権の算出において、重複して計算しないように注意する。
ver.4.0</oddFooter>
      </headerFooter>
    </customSheetView>
    <customSheetView guid="{A40A9BDD-82B7-45A5-8C28-2E6774722F71}" scale="80" fitToPage="1">
      <pane xSplit="3" ySplit="1" topLeftCell="D2" activePane="bottomRight" state="frozen"/>
      <selection pane="bottomRight" activeCell="H1" sqref="H1"/>
      <pageMargins left="0.78740157480314965" right="0.78740157480314965" top="1.5748031496062993" bottom="0.78740157480314965" header="1.1811023622047245" footer="0.51181102362204722"/>
      <pageSetup paperSize="9" scale="86" fitToHeight="0" orientation="landscape" horizontalDpi="4294967293" verticalDpi="4294967293" r:id="rId3"/>
      <headerFooter alignWithMargins="0">
        <oddHeader>&amp;C&amp;"ＭＳ Ｐ明朝,太字"&amp;14⑦　不動産目録</oddHeader>
        <oddFooter>&amp;R&amp;"ＭＳ Ｐ明朝,標準"&amp;9回収見込額については、固定資産評価証明書における評価額ないし査定価格と被担保債権額の差額を記載する。
共同担保物件における被担保債権の算出において、重複して計算しないよう注意する。
ver.3.0</oddFooter>
      </headerFooter>
    </customSheetView>
  </customSheetViews>
  <phoneticPr fontId="6"/>
  <conditionalFormatting sqref="G2 G5 G7:G11">
    <cfRule type="expression" dxfId="8" priority="1" stopIfTrue="1">
      <formula>ISBLANK($E2)</formula>
    </cfRule>
  </conditionalFormatting>
  <dataValidations count="2">
    <dataValidation imeMode="off" allowBlank="1" showInputMessage="1" showErrorMessage="1" sqref="A1:A1048576 L1:IV1048576 E1:E1048576 F1:G2 F5:G5 F7:G1048576"/>
    <dataValidation imeMode="on" allowBlank="1" showInputMessage="1" showErrorMessage="1" sqref="I1:J1 B1:D1048576 I12:J1048576 H12:H1048576 K1 H1 H2:J11 K12:K1048576 K2:K11"/>
  </dataValidations>
  <pageMargins left="0.78740157480314965" right="0.78740157480314965" top="1.5748031496062993" bottom="0.78740157480314965" header="1.1811023622047245" footer="0.51181102362204722"/>
  <pageSetup paperSize="9" scale="86" fitToHeight="0" orientation="landscape" verticalDpi="4294967293" r:id="rId4"/>
  <headerFooter alignWithMargins="0">
    <oddHeader>&amp;C&amp;"ＭＳ Ｐ明朝,太字"&amp;14⑦　不動産目録</oddHeader>
    <oddFooter>&amp;C&amp;P&amp;R&amp;"ＭＳ Ｐ明朝,標準"&amp;9回収見込額については、固定資産評価証明書における評価額ないし査定価格と被担保債権額の差額を記載する。
共同担保物件における被担保債権の算出において、重複して計算しないよう注意する。
ver.4.0</oddFooter>
  </headerFooter>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G14"/>
  <sheetViews>
    <sheetView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8.875" style="2" customWidth="1"/>
    <col min="3" max="3" width="7" style="2" customWidth="1"/>
    <col min="4" max="4" width="29.375" style="2" customWidth="1"/>
    <col min="5" max="6" width="19.875" style="19" customWidth="1"/>
    <col min="7" max="7" width="40.5" style="15" customWidth="1"/>
    <col min="8" max="16384" width="27" style="15"/>
  </cols>
  <sheetData>
    <row r="1" spans="1:7" s="88" customFormat="1" ht="32.25" customHeight="1" thickBot="1">
      <c r="A1" s="103" t="s">
        <v>60</v>
      </c>
      <c r="B1" s="106" t="s">
        <v>36</v>
      </c>
      <c r="C1" s="106" t="s">
        <v>35</v>
      </c>
      <c r="D1" s="103" t="s">
        <v>33</v>
      </c>
      <c r="E1" s="105" t="s">
        <v>66</v>
      </c>
      <c r="F1" s="105" t="s">
        <v>44</v>
      </c>
      <c r="G1" s="103" t="s">
        <v>20</v>
      </c>
    </row>
    <row r="2" spans="1:7" ht="36" customHeight="1" thickTop="1">
      <c r="A2" s="1">
        <v>1</v>
      </c>
      <c r="B2" s="190"/>
      <c r="C2" s="1"/>
      <c r="D2" s="190"/>
      <c r="E2" s="51"/>
      <c r="F2" s="51"/>
      <c r="G2" s="190"/>
    </row>
    <row r="3" spans="1:7" ht="36" customHeight="1">
      <c r="A3" s="4">
        <v>2</v>
      </c>
      <c r="B3" s="65"/>
      <c r="C3" s="4"/>
      <c r="D3" s="65"/>
      <c r="E3" s="50"/>
      <c r="F3" s="51"/>
      <c r="G3" s="190"/>
    </row>
    <row r="4" spans="1:7" ht="36" customHeight="1">
      <c r="A4" s="4">
        <v>3</v>
      </c>
      <c r="B4" s="65"/>
      <c r="C4" s="4"/>
      <c r="D4" s="65"/>
      <c r="E4" s="50"/>
      <c r="F4" s="51"/>
      <c r="G4" s="65"/>
    </row>
    <row r="5" spans="1:7" ht="36" customHeight="1">
      <c r="A5" s="4">
        <v>4</v>
      </c>
      <c r="B5" s="65"/>
      <c r="C5" s="4"/>
      <c r="D5" s="65"/>
      <c r="E5" s="50"/>
      <c r="F5" s="51"/>
      <c r="G5" s="65"/>
    </row>
    <row r="6" spans="1:7" ht="36" customHeight="1">
      <c r="A6" s="4">
        <v>5</v>
      </c>
      <c r="B6" s="65"/>
      <c r="C6" s="4"/>
      <c r="D6" s="66"/>
      <c r="E6" s="50"/>
      <c r="F6" s="51"/>
      <c r="G6" s="65"/>
    </row>
    <row r="7" spans="1:7" ht="36" customHeight="1">
      <c r="A7" s="4">
        <v>6</v>
      </c>
      <c r="B7" s="65"/>
      <c r="C7" s="4"/>
      <c r="D7" s="65"/>
      <c r="E7" s="50"/>
      <c r="F7" s="51"/>
      <c r="G7" s="65"/>
    </row>
    <row r="8" spans="1:7" ht="36" customHeight="1">
      <c r="A8" s="4">
        <v>7</v>
      </c>
      <c r="B8" s="145"/>
      <c r="C8" s="9"/>
      <c r="D8" s="145"/>
      <c r="E8" s="157"/>
      <c r="F8" s="51"/>
      <c r="G8" s="145"/>
    </row>
    <row r="9" spans="1:7" ht="36" customHeight="1">
      <c r="A9" s="4">
        <v>8</v>
      </c>
      <c r="B9" s="145"/>
      <c r="C9" s="9"/>
      <c r="D9" s="145"/>
      <c r="E9" s="157"/>
      <c r="F9" s="51"/>
      <c r="G9" s="145"/>
    </row>
    <row r="10" spans="1:7" ht="36" customHeight="1">
      <c r="A10" s="4">
        <v>9</v>
      </c>
      <c r="B10" s="145"/>
      <c r="C10" s="9"/>
      <c r="D10" s="145"/>
      <c r="E10" s="157"/>
      <c r="F10" s="51"/>
      <c r="G10" s="145"/>
    </row>
    <row r="11" spans="1:7" ht="36" customHeight="1">
      <c r="A11" s="4">
        <v>10</v>
      </c>
      <c r="B11" s="145"/>
      <c r="C11" s="9"/>
      <c r="D11" s="145"/>
      <c r="E11" s="157"/>
      <c r="F11" s="51"/>
      <c r="G11" s="145"/>
    </row>
    <row r="12" spans="1:7" ht="36" customHeight="1">
      <c r="A12" s="4">
        <v>11</v>
      </c>
      <c r="B12" s="145"/>
      <c r="C12" s="9"/>
      <c r="D12" s="145"/>
      <c r="E12" s="157"/>
      <c r="F12" s="51"/>
      <c r="G12" s="145"/>
    </row>
    <row r="13" spans="1:7" ht="36" customHeight="1">
      <c r="A13" s="4">
        <v>12</v>
      </c>
      <c r="B13" s="65"/>
      <c r="C13" s="4"/>
      <c r="D13" s="145"/>
      <c r="E13" s="50"/>
      <c r="F13" s="51"/>
      <c r="G13" s="65"/>
    </row>
    <row r="14" spans="1:7" ht="36" customHeight="1">
      <c r="D14" s="4" t="s">
        <v>68</v>
      </c>
      <c r="E14" s="50">
        <f>SUM(E2:E13)</f>
        <v>0</v>
      </c>
      <c r="F14" s="50">
        <f>SUM(F2:F13)</f>
        <v>0</v>
      </c>
    </row>
  </sheetData>
  <customSheetViews>
    <customSheetView guid="{6F922FB1-F68A-46DE-A607-10E765F3DA60}" scale="75" showPageBreaks="1" fitToPage="1">
      <pane xSplit="2" ySplit="1" topLeftCell="C2" activePane="bottomRight" state="frozen"/>
      <selection pane="bottomRight" activeCell="B2" sqref="B2:G2"/>
      <pageMargins left="0.78740157480314965" right="0.78740157480314965" top="1.5748031496062993" bottom="0.78740157480314965" header="1.1811023622047245" footer="0.51181102362204722"/>
      <pageSetup paperSize="9" scale="87" fitToHeight="0" orientation="landscape" horizontalDpi="4294967293" verticalDpi="4294967293" r:id="rId1"/>
      <headerFooter alignWithMargins="0">
        <oddHeader>&amp;C&amp;"ＭＳ Ｐ明朝,太字"&amp;14⑧　機械・工具類目録</oddHeader>
        <oddFooter>&amp;R&amp;"ＭＳ Ｐ明朝,標準"ver.3.0</oddFooter>
      </headerFooter>
    </customSheetView>
    <customSheetView guid="{3B0C33F4-61B3-4DD1-861F-A18C21F5A24B}" scale="75" showPageBreaks="1" fitToPage="1">
      <pane xSplit="2" ySplit="1" topLeftCell="C8" activePane="bottomRight" state="frozen"/>
      <selection pane="bottomRight" activeCell="G17" sqref="G17"/>
      <pageMargins left="0.78740157480314965" right="0.78740157480314965" top="1.5748031496062993" bottom="0.78740157480314965" header="1.1811023622047245" footer="0.51181102362204722"/>
      <pageSetup paperSize="9" scale="87" fitToHeight="0" orientation="landscape" horizontalDpi="4294967293" verticalDpi="4294967293" r:id="rId2"/>
      <headerFooter alignWithMargins="0">
        <oddHeader>&amp;C&amp;"ＭＳ Ｐ明朝,太字"&amp;14⑧　機械・工具類目録</oddHeader>
        <oddFooter>&amp;R&amp;"ＭＳ Ｐ明朝,標準"ver.4.0</oddFooter>
      </headerFooter>
    </customSheetView>
    <customSheetView guid="{A40A9BDD-82B7-45A5-8C28-2E6774722F71}" scale="75" fitToPage="1">
      <pane xSplit="2" ySplit="1" topLeftCell="C2" activePane="bottomRight" state="frozen"/>
      <selection pane="bottomRight" activeCell="G19" sqref="G19"/>
      <pageMargins left="0.78740157480314965" right="0.78740157480314965" top="1.5748031496062993" bottom="0.78740157480314965" header="1.1811023622047245" footer="0.51181102362204722"/>
      <pageSetup paperSize="9" scale="87" fitToHeight="0" orientation="landscape" horizontalDpi="4294967293" verticalDpi="4294967293" r:id="rId3"/>
      <headerFooter alignWithMargins="0">
        <oddHeader>&amp;C&amp;"ＭＳ Ｐ明朝,太字"&amp;14⑧　機械・工具類目録</oddHeader>
        <oddFooter>&amp;R&amp;"ＭＳ Ｐ明朝,標準"ver.3.0</oddFooter>
      </headerFooter>
    </customSheetView>
  </customSheetViews>
  <phoneticPr fontId="6"/>
  <conditionalFormatting sqref="F2:F13">
    <cfRule type="expression" dxfId="7" priority="1" stopIfTrue="1">
      <formula>ISBLANK($E2)</formula>
    </cfRule>
  </conditionalFormatting>
  <dataValidations count="2">
    <dataValidation imeMode="off" allowBlank="1" showInputMessage="1" showErrorMessage="1" sqref="H1:IV1048576 A1:A1048576 C1:C1048576 E1:F1048576"/>
    <dataValidation imeMode="on" allowBlank="1" showInputMessage="1" showErrorMessage="1" sqref="B1:B1048576 D1:D1048576 G1:G1048576"/>
  </dataValidations>
  <pageMargins left="0.78740157480314965" right="0.78740157480314965" top="1.5748031496062993" bottom="0.78740157480314965" header="1.1811023622047245" footer="0.51181102362204722"/>
  <pageSetup paperSize="9" scale="87" fitToHeight="0" orientation="landscape" horizontalDpi="4294967293" verticalDpi="4294967293" r:id="rId4"/>
  <headerFooter alignWithMargins="0">
    <oddHeader>&amp;C&amp;"ＭＳ Ｐ明朝,太字"&amp;14⑧　機械・工具類目録</oddHeader>
    <oddFooter>&amp;C&amp;P&amp;R&amp;"ＭＳ Ｐ明朝,標準"ver.4.0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G14"/>
  <sheetViews>
    <sheetView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1.75" style="2" customWidth="1"/>
    <col min="3" max="3" width="7" style="2" customWidth="1"/>
    <col min="4" max="4" width="33.125" style="2" customWidth="1"/>
    <col min="5" max="6" width="23" style="19" customWidth="1"/>
    <col min="7" max="7" width="40.75" style="15" customWidth="1"/>
    <col min="8" max="16384" width="27" style="15"/>
  </cols>
  <sheetData>
    <row r="1" spans="1:7" s="88" customFormat="1" ht="32.25" customHeight="1" thickBot="1">
      <c r="A1" s="103" t="s">
        <v>60</v>
      </c>
      <c r="B1" s="106" t="s">
        <v>34</v>
      </c>
      <c r="C1" s="106" t="s">
        <v>35</v>
      </c>
      <c r="D1" s="103" t="s">
        <v>33</v>
      </c>
      <c r="E1" s="105" t="s">
        <v>64</v>
      </c>
      <c r="F1" s="105" t="s">
        <v>48</v>
      </c>
      <c r="G1" s="103" t="s">
        <v>20</v>
      </c>
    </row>
    <row r="2" spans="1:7" ht="36" customHeight="1" thickTop="1">
      <c r="A2" s="1">
        <v>1</v>
      </c>
      <c r="B2" s="190"/>
      <c r="C2" s="1"/>
      <c r="D2" s="190"/>
      <c r="E2" s="51"/>
      <c r="F2" s="51"/>
      <c r="G2" s="190"/>
    </row>
    <row r="3" spans="1:7" ht="36" customHeight="1">
      <c r="A3" s="4">
        <v>2</v>
      </c>
      <c r="B3" s="65"/>
      <c r="C3" s="4"/>
      <c r="D3" s="65"/>
      <c r="E3" s="50"/>
      <c r="F3" s="51"/>
      <c r="G3" s="190"/>
    </row>
    <row r="4" spans="1:7" ht="36" customHeight="1">
      <c r="A4" s="4">
        <v>3</v>
      </c>
      <c r="B4" s="65"/>
      <c r="C4" s="4"/>
      <c r="D4" s="65"/>
      <c r="E4" s="50"/>
      <c r="F4" s="51"/>
      <c r="G4" s="65"/>
    </row>
    <row r="5" spans="1:7" ht="36" customHeight="1">
      <c r="A5" s="4">
        <v>4</v>
      </c>
      <c r="B5" s="65"/>
      <c r="C5" s="4"/>
      <c r="D5" s="65"/>
      <c r="E5" s="50"/>
      <c r="F5" s="51"/>
      <c r="G5" s="65"/>
    </row>
    <row r="6" spans="1:7" ht="36" customHeight="1">
      <c r="A6" s="4">
        <v>5</v>
      </c>
      <c r="B6" s="65"/>
      <c r="C6" s="4"/>
      <c r="D6" s="66"/>
      <c r="E6" s="50"/>
      <c r="F6" s="51"/>
      <c r="G6" s="65"/>
    </row>
    <row r="7" spans="1:7" ht="36" customHeight="1">
      <c r="A7" s="4">
        <v>6</v>
      </c>
      <c r="B7" s="145"/>
      <c r="C7" s="9"/>
      <c r="D7" s="145"/>
      <c r="E7" s="157"/>
      <c r="F7" s="51"/>
      <c r="G7" s="145"/>
    </row>
    <row r="8" spans="1:7" ht="36" customHeight="1">
      <c r="A8" s="4">
        <v>7</v>
      </c>
      <c r="B8" s="145"/>
      <c r="C8" s="9"/>
      <c r="D8" s="145"/>
      <c r="E8" s="157"/>
      <c r="F8" s="51"/>
      <c r="G8" s="145"/>
    </row>
    <row r="9" spans="1:7" ht="36" customHeight="1">
      <c r="A9" s="4">
        <v>8</v>
      </c>
      <c r="B9" s="145"/>
      <c r="C9" s="9"/>
      <c r="D9" s="145"/>
      <c r="E9" s="157"/>
      <c r="F9" s="51"/>
      <c r="G9" s="145"/>
    </row>
    <row r="10" spans="1:7" ht="36" customHeight="1">
      <c r="A10" s="4">
        <v>9</v>
      </c>
      <c r="B10" s="145"/>
      <c r="C10" s="9"/>
      <c r="D10" s="145"/>
      <c r="E10" s="157"/>
      <c r="F10" s="51"/>
      <c r="G10" s="145"/>
    </row>
    <row r="11" spans="1:7" ht="36" customHeight="1">
      <c r="A11" s="4">
        <v>10</v>
      </c>
      <c r="B11" s="145"/>
      <c r="C11" s="9"/>
      <c r="D11" s="145"/>
      <c r="E11" s="157"/>
      <c r="F11" s="51"/>
      <c r="G11" s="145"/>
    </row>
    <row r="12" spans="1:7" ht="36" customHeight="1">
      <c r="A12" s="4">
        <v>11</v>
      </c>
      <c r="B12" s="145"/>
      <c r="C12" s="9"/>
      <c r="D12" s="145"/>
      <c r="E12" s="157"/>
      <c r="F12" s="51"/>
      <c r="G12" s="145"/>
    </row>
    <row r="13" spans="1:7" ht="36" customHeight="1">
      <c r="A13" s="4">
        <v>12</v>
      </c>
      <c r="B13" s="65"/>
      <c r="C13" s="4"/>
      <c r="D13" s="65"/>
      <c r="E13" s="50"/>
      <c r="F13" s="51"/>
      <c r="G13" s="65"/>
    </row>
    <row r="14" spans="1:7" ht="36" customHeight="1">
      <c r="D14" s="4" t="s">
        <v>68</v>
      </c>
      <c r="E14" s="50">
        <f>SUM(E2:E13)</f>
        <v>0</v>
      </c>
      <c r="F14" s="50">
        <f>SUM(F2:F13)</f>
        <v>0</v>
      </c>
    </row>
  </sheetData>
  <customSheetViews>
    <customSheetView guid="{6F922FB1-F68A-46DE-A607-10E765F3DA60}" scale="75" showPageBreaks="1" fitToPage="1">
      <pane xSplit="2" ySplit="1" topLeftCell="C2" activePane="bottomRight" state="frozen"/>
      <selection pane="bottomRight" activeCell="B2" sqref="B2:G2"/>
      <colBreaks count="4" manualBreakCount="4">
        <brk id="7" max="1048575" man="1"/>
        <brk id="12" max="1048575" man="1"/>
        <brk id="17" max="1048575" man="1"/>
        <brk id="22" max="1048575" man="1"/>
      </colBreaks>
      <pageMargins left="0.78740157480314965" right="0.78740157480314965" top="1.5748031496062993" bottom="0.78740157480314965" header="1.1811023622047245" footer="0.51181102362204722"/>
      <pageSetup paperSize="9" scale="85" fitToHeight="0" orientation="landscape" horizontalDpi="4294967293" verticalDpi="4294967293" r:id="rId1"/>
      <headerFooter alignWithMargins="0">
        <oddHeader>&amp;C&amp;"ＭＳ Ｐ明朝,太字"&amp;14⑨　什器備品目録</oddHeader>
        <oddFooter>&amp;R&amp;"ＭＳ Ｐ明朝,標準"ver.3.0</oddFooter>
      </headerFooter>
    </customSheetView>
    <customSheetView guid="{3B0C33F4-61B3-4DD1-861F-A18C21F5A24B}" scale="75" showPageBreaks="1" fitToPage="1">
      <pane xSplit="2" ySplit="1" topLeftCell="C2" activePane="bottomRight" state="frozen"/>
      <selection pane="bottomRight" activeCell="G17" sqref="G17"/>
      <colBreaks count="4" manualBreakCount="4">
        <brk id="7" max="1048575" man="1"/>
        <brk id="12" max="1048575" man="1"/>
        <brk id="17" max="1048575" man="1"/>
        <brk id="22" max="1048575" man="1"/>
      </colBreaks>
      <pageMargins left="0.78740157480314965" right="0.78740157480314965" top="1.5748031496062993" bottom="0.78740157480314965" header="1.1811023622047245" footer="0.51181102362204722"/>
      <pageSetup paperSize="9" scale="85" fitToHeight="0" orientation="landscape" horizontalDpi="4294967293" verticalDpi="4294967293" r:id="rId2"/>
      <headerFooter alignWithMargins="0">
        <oddHeader>&amp;C&amp;"ＭＳ Ｐ明朝,太字"&amp;14⑨　什器備品目録</oddHeader>
        <oddFooter>&amp;R&amp;"ＭＳ Ｐ明朝,標準"ver.4.0</oddFooter>
      </headerFooter>
    </customSheetView>
    <customSheetView guid="{A40A9BDD-82B7-45A5-8C28-2E6774722F71}" scale="75" fitToPage="1">
      <pane xSplit="2" ySplit="1" topLeftCell="C2" activePane="bottomRight" state="frozen"/>
      <selection pane="bottomRight" activeCell="G21" sqref="G21"/>
      <colBreaks count="4" manualBreakCount="4">
        <brk id="7" max="1048575" man="1"/>
        <brk id="12" max="1048575" man="1"/>
        <brk id="17" max="1048575" man="1"/>
        <brk id="22" max="1048575" man="1"/>
      </colBreaks>
      <pageMargins left="0.78740157480314965" right="0.78740157480314965" top="1.5748031496062993" bottom="0.78740157480314965" header="1.1811023622047245" footer="0.51181102362204722"/>
      <pageSetup paperSize="9" scale="85" fitToHeight="0" orientation="landscape" horizontalDpi="4294967293" verticalDpi="4294967293" r:id="rId3"/>
      <headerFooter alignWithMargins="0">
        <oddHeader>&amp;C&amp;"ＭＳ Ｐ明朝,太字"&amp;14⑨　什器備品目録</oddHeader>
        <oddFooter>&amp;R&amp;"ＭＳ Ｐ明朝,標準"ver.3.0</oddFooter>
      </headerFooter>
    </customSheetView>
  </customSheetViews>
  <phoneticPr fontId="6"/>
  <conditionalFormatting sqref="F2:F13">
    <cfRule type="expression" dxfId="6" priority="1" stopIfTrue="1">
      <formula>ISBLANK($E2)</formula>
    </cfRule>
  </conditionalFormatting>
  <dataValidations count="2">
    <dataValidation imeMode="off" allowBlank="1" showInputMessage="1" showErrorMessage="1" sqref="H1:IV1048576 A1:A1048576 C1:C1048576 E1:F1048576"/>
    <dataValidation imeMode="on" allowBlank="1" showInputMessage="1" showErrorMessage="1" sqref="B1:B1048576 D1:D1048576 G1:G1048576"/>
  </dataValidations>
  <pageMargins left="0.78740157480314965" right="0.78740157480314965" top="1.5748031496062993" bottom="0.78740157480314965" header="1.1811023622047245" footer="0.51181102362204722"/>
  <pageSetup paperSize="9" scale="85" fitToHeight="0" orientation="landscape" horizontalDpi="4294967293" verticalDpi="4294967293" r:id="rId4"/>
  <headerFooter alignWithMargins="0">
    <oddHeader>&amp;C&amp;"ＭＳ Ｐ明朝,太字"&amp;14⑨　什器備品目録</oddHeader>
    <oddFooter>&amp;C&amp;P&amp;R&amp;"ＭＳ Ｐ明朝,標準"ver.4.0</oddFooter>
  </headerFooter>
  <colBreaks count="4" manualBreakCount="4">
    <brk id="7" max="1048575" man="1"/>
    <brk id="12" max="1048575" man="1"/>
    <brk id="17" max="1048575" man="1"/>
    <brk id="2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15"/>
  <sheetViews>
    <sheetView zoomScale="8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customWidth="1"/>
    <col min="2" max="2" width="17.5" style="2" customWidth="1"/>
    <col min="3" max="3" width="8.5" style="2" customWidth="1"/>
    <col min="4" max="4" width="20.375" style="2" customWidth="1"/>
    <col min="5" max="5" width="20.125" style="15" customWidth="1"/>
    <col min="6" max="7" width="17.25" style="19" customWidth="1"/>
    <col min="8" max="9" width="5" style="15" customWidth="1"/>
    <col min="10" max="10" width="15.25" style="15" customWidth="1"/>
    <col min="11" max="16384" width="27" style="15"/>
  </cols>
  <sheetData>
    <row r="1" spans="1:10" s="88" customFormat="1" ht="53.25" customHeight="1" thickBot="1">
      <c r="A1" s="103" t="s">
        <v>60</v>
      </c>
      <c r="B1" s="103" t="s">
        <v>29</v>
      </c>
      <c r="C1" s="127" t="s">
        <v>85</v>
      </c>
      <c r="D1" s="103" t="s">
        <v>30</v>
      </c>
      <c r="E1" s="103" t="s">
        <v>31</v>
      </c>
      <c r="F1" s="105" t="s">
        <v>64</v>
      </c>
      <c r="G1" s="105" t="s">
        <v>44</v>
      </c>
      <c r="H1" s="110" t="s">
        <v>92</v>
      </c>
      <c r="I1" s="177" t="s">
        <v>93</v>
      </c>
      <c r="J1" s="106" t="s">
        <v>50</v>
      </c>
    </row>
    <row r="2" spans="1:10" ht="36" customHeight="1" thickTop="1">
      <c r="A2" s="1">
        <v>1</v>
      </c>
      <c r="B2" s="169"/>
      <c r="C2" s="14"/>
      <c r="D2" s="1"/>
      <c r="E2" s="64"/>
      <c r="F2" s="51"/>
      <c r="G2" s="51"/>
      <c r="H2" s="175" t="s">
        <v>63</v>
      </c>
      <c r="I2" s="175" t="s">
        <v>63</v>
      </c>
      <c r="J2" s="162"/>
    </row>
    <row r="3" spans="1:10" ht="36" customHeight="1">
      <c r="A3" s="1">
        <v>2</v>
      </c>
      <c r="B3" s="169"/>
      <c r="C3" s="14"/>
      <c r="D3" s="4"/>
      <c r="E3" s="64"/>
      <c r="F3" s="50"/>
      <c r="G3" s="51"/>
      <c r="H3" s="175" t="s">
        <v>63</v>
      </c>
      <c r="I3" s="175" t="s">
        <v>63</v>
      </c>
      <c r="J3" s="163"/>
    </row>
    <row r="4" spans="1:10" ht="36" customHeight="1">
      <c r="A4" s="1">
        <v>3</v>
      </c>
      <c r="B4" s="186"/>
      <c r="C4" s="14"/>
      <c r="D4" s="4"/>
      <c r="E4" s="65"/>
      <c r="F4" s="50"/>
      <c r="G4" s="51"/>
      <c r="H4" s="175" t="s">
        <v>63</v>
      </c>
      <c r="I4" s="175" t="s">
        <v>63</v>
      </c>
      <c r="J4" s="164"/>
    </row>
    <row r="5" spans="1:10" ht="36" customHeight="1">
      <c r="A5" s="1">
        <v>4</v>
      </c>
      <c r="B5" s="65"/>
      <c r="C5" s="5"/>
      <c r="D5" s="4"/>
      <c r="E5" s="65"/>
      <c r="F5" s="50"/>
      <c r="G5" s="51"/>
      <c r="H5" s="175" t="s">
        <v>63</v>
      </c>
      <c r="I5" s="175" t="s">
        <v>63</v>
      </c>
      <c r="J5" s="164"/>
    </row>
    <row r="6" spans="1:10" ht="36" customHeight="1">
      <c r="A6" s="1">
        <v>5</v>
      </c>
      <c r="B6" s="169"/>
      <c r="C6" s="14"/>
      <c r="D6" s="4"/>
      <c r="E6" s="64"/>
      <c r="F6" s="50"/>
      <c r="G6" s="51"/>
      <c r="H6" s="175" t="s">
        <v>63</v>
      </c>
      <c r="I6" s="175" t="s">
        <v>63</v>
      </c>
      <c r="J6" s="163"/>
    </row>
    <row r="7" spans="1:10" ht="36" customHeight="1">
      <c r="A7" s="1">
        <v>6</v>
      </c>
      <c r="B7" s="186"/>
      <c r="C7" s="14"/>
      <c r="D7" s="4"/>
      <c r="E7" s="65"/>
      <c r="F7" s="50"/>
      <c r="G7" s="51"/>
      <c r="H7" s="175" t="s">
        <v>63</v>
      </c>
      <c r="I7" s="175" t="s">
        <v>63</v>
      </c>
      <c r="J7" s="164"/>
    </row>
    <row r="8" spans="1:10" ht="36" customHeight="1">
      <c r="A8" s="1">
        <v>7</v>
      </c>
      <c r="B8" s="65"/>
      <c r="C8" s="5"/>
      <c r="D8" s="4"/>
      <c r="E8" s="65"/>
      <c r="F8" s="50"/>
      <c r="G8" s="51"/>
      <c r="H8" s="175" t="s">
        <v>63</v>
      </c>
      <c r="I8" s="175" t="s">
        <v>63</v>
      </c>
      <c r="J8" s="164"/>
    </row>
    <row r="9" spans="1:10" ht="36" customHeight="1">
      <c r="A9" s="1">
        <v>8</v>
      </c>
      <c r="B9" s="169"/>
      <c r="C9" s="14"/>
      <c r="D9" s="4"/>
      <c r="E9" s="64"/>
      <c r="F9" s="50"/>
      <c r="G9" s="51"/>
      <c r="H9" s="175" t="s">
        <v>63</v>
      </c>
      <c r="I9" s="175" t="s">
        <v>63</v>
      </c>
      <c r="J9" s="163"/>
    </row>
    <row r="10" spans="1:10" ht="36" customHeight="1">
      <c r="A10" s="1">
        <v>9</v>
      </c>
      <c r="B10" s="186"/>
      <c r="C10" s="14"/>
      <c r="D10" s="4"/>
      <c r="E10" s="65"/>
      <c r="F10" s="50"/>
      <c r="G10" s="51"/>
      <c r="H10" s="175" t="s">
        <v>63</v>
      </c>
      <c r="I10" s="175" t="s">
        <v>63</v>
      </c>
      <c r="J10" s="164"/>
    </row>
    <row r="11" spans="1:10" ht="36" customHeight="1">
      <c r="A11" s="1">
        <v>10</v>
      </c>
      <c r="B11" s="65"/>
      <c r="C11" s="5"/>
      <c r="D11" s="4"/>
      <c r="E11" s="65"/>
      <c r="F11" s="50"/>
      <c r="G11" s="51"/>
      <c r="H11" s="175" t="s">
        <v>63</v>
      </c>
      <c r="I11" s="175" t="s">
        <v>63</v>
      </c>
      <c r="J11" s="164"/>
    </row>
    <row r="12" spans="1:10" ht="36" customHeight="1">
      <c r="A12" s="10"/>
      <c r="B12" s="10"/>
      <c r="C12" s="10"/>
      <c r="E12" s="7" t="s">
        <v>68</v>
      </c>
      <c r="F12" s="50">
        <f>SUM(F2:F11)</f>
        <v>0</v>
      </c>
      <c r="G12" s="50">
        <f>SUM(G2:G11)</f>
        <v>0</v>
      </c>
      <c r="H12" s="12"/>
      <c r="I12" s="12"/>
      <c r="J12" s="11"/>
    </row>
    <row r="13" spans="1:10" ht="27" customHeight="1">
      <c r="J13" s="13"/>
    </row>
    <row r="14" spans="1:10" ht="27" customHeight="1">
      <c r="J14" s="13"/>
    </row>
    <row r="15" spans="1:10" ht="27" customHeight="1">
      <c r="J15" s="13"/>
    </row>
  </sheetData>
  <customSheetViews>
    <customSheetView guid="{6F922FB1-F68A-46DE-A607-10E765F3DA60}" scale="85" showPageBreaks="1" fitToPage="1">
      <pane xSplit="2" ySplit="1" topLeftCell="C2" activePane="bottomRight" state="frozen"/>
      <selection pane="bottomRight" activeCell="C4" sqref="C4"/>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Ｐ明朝,太字"&amp;14⑩　自動車目録</oddHeader>
        <oddFooter>&amp;R&amp;"ＭＳ Ｐ明朝,標準"ver.3.0</oddFooter>
      </headerFooter>
    </customSheetView>
    <customSheetView guid="{3B0C33F4-61B3-4DD1-861F-A18C21F5A24B}" scale="85" showPageBreaks="1" fitToPage="1">
      <pane xSplit="2" ySplit="1" topLeftCell="C5" activePane="bottomRight" state="frozen"/>
      <selection pane="bottomRight" activeCell="G17" sqref="G17"/>
      <pageMargins left="0.78740157480314965" right="0.78740157480314965" top="1.5748031496062993" bottom="0.78740157480314965" header="1.1811023622047245" footer="0.51181102362204722"/>
      <pageSetup paperSize="9" fitToHeight="0" orientation="landscape" horizontalDpi="4294967293" verticalDpi="4294967293" r:id="rId2"/>
      <headerFooter alignWithMargins="0">
        <oddHeader>&amp;C&amp;"ＭＳ Ｐ明朝,太字"&amp;14⑩　自動車目録</oddHeader>
        <oddFooter>&amp;R&amp;"ＭＳ Ｐ明朝,標準"ver.4.0</oddFooter>
      </headerFooter>
    </customSheetView>
    <customSheetView guid="{A40A9BDD-82B7-45A5-8C28-2E6774722F71}" scale="85" fitToPage="1">
      <pane xSplit="2" ySplit="1" topLeftCell="C2" activePane="bottomRight" state="frozen"/>
      <selection pane="bottomRight" activeCell="C4" sqref="C4"/>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Ｐ明朝,太字"&amp;14⑩　自動車目録</oddHeader>
        <oddFooter>&amp;R&amp;"ＭＳ Ｐ明朝,標準"ver.3.0</oddFooter>
      </headerFooter>
    </customSheetView>
  </customSheetViews>
  <phoneticPr fontId="6"/>
  <conditionalFormatting sqref="G2:G11">
    <cfRule type="expression" dxfId="5" priority="1" stopIfTrue="1">
      <formula>ISBLANK($F2)</formula>
    </cfRule>
  </conditionalFormatting>
  <dataValidations count="2">
    <dataValidation imeMode="off" allowBlank="1" showInputMessage="1" showErrorMessage="1" sqref="C7:C8 C4:C5 C1:C2 C10:C65536 K1:IV1048576 A1:A1048576 F1:G1048576"/>
    <dataValidation imeMode="on" allowBlank="1" showInputMessage="1" showErrorMessage="1" sqref="C9 C6 C3 D13:D65536 D1:D11 B1:B1048576 H1:J1048576 E1:E1048576"/>
  </dataValidations>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Ｐ明朝,太字"&amp;14⑩　自動車目録</oddHeader>
    <oddFooter>&amp;C&amp;P&amp;R&amp;"ＭＳ Ｐ明朝,標準"ver.4.0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16"/>
  <sheetViews>
    <sheetView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36" customHeight="1"/>
  <cols>
    <col min="1" max="1" width="4.625" style="2" bestFit="1" customWidth="1"/>
    <col min="2" max="2" width="32.375" style="2" customWidth="1"/>
    <col min="3" max="3" width="9" style="59" bestFit="1" customWidth="1"/>
    <col min="4" max="4" width="19.5" style="2" customWidth="1"/>
    <col min="5" max="5" width="5" style="2" customWidth="1"/>
    <col min="6" max="6" width="17.875" style="15" customWidth="1"/>
    <col min="7" max="8" width="16.75" style="19" customWidth="1"/>
    <col min="9" max="9" width="4.875" style="15" customWidth="1"/>
    <col min="10" max="10" width="27.5" style="15" customWidth="1"/>
    <col min="11" max="16384" width="27" style="15"/>
  </cols>
  <sheetData>
    <row r="1" spans="1:10" s="88" customFormat="1" ht="47.25" customHeight="1" thickBot="1">
      <c r="A1" s="103" t="s">
        <v>60</v>
      </c>
      <c r="B1" s="106" t="s">
        <v>104</v>
      </c>
      <c r="C1" s="109" t="s">
        <v>49</v>
      </c>
      <c r="D1" s="103" t="s">
        <v>86</v>
      </c>
      <c r="E1" s="204" t="s">
        <v>94</v>
      </c>
      <c r="F1" s="205"/>
      <c r="G1" s="105" t="s">
        <v>64</v>
      </c>
      <c r="H1" s="105" t="s">
        <v>44</v>
      </c>
      <c r="I1" s="110" t="s">
        <v>32</v>
      </c>
      <c r="J1" s="103" t="s">
        <v>20</v>
      </c>
    </row>
    <row r="2" spans="1:10" ht="36" customHeight="1" thickTop="1">
      <c r="A2" s="1">
        <v>1</v>
      </c>
      <c r="B2" s="139"/>
      <c r="C2" s="67"/>
      <c r="D2" s="14"/>
      <c r="E2" s="176" t="s">
        <v>63</v>
      </c>
      <c r="F2" s="165"/>
      <c r="G2" s="51"/>
      <c r="H2" s="51"/>
      <c r="I2" s="191" t="s">
        <v>83</v>
      </c>
      <c r="J2" s="139"/>
    </row>
    <row r="3" spans="1:10" ht="36" customHeight="1">
      <c r="A3" s="4">
        <v>2</v>
      </c>
      <c r="B3" s="65"/>
      <c r="C3" s="60"/>
      <c r="D3" s="5"/>
      <c r="E3" s="176" t="s">
        <v>110</v>
      </c>
      <c r="F3" s="166"/>
      <c r="G3" s="50"/>
      <c r="H3" s="51"/>
      <c r="I3" s="191" t="s">
        <v>110</v>
      </c>
      <c r="J3" s="66"/>
    </row>
    <row r="4" spans="1:10" ht="36" customHeight="1">
      <c r="A4" s="4">
        <v>3</v>
      </c>
      <c r="B4" s="65"/>
      <c r="C4" s="60"/>
      <c r="D4" s="5"/>
      <c r="E4" s="176" t="s">
        <v>110</v>
      </c>
      <c r="F4" s="167"/>
      <c r="G4" s="50"/>
      <c r="H4" s="51"/>
      <c r="I4" s="191" t="s">
        <v>63</v>
      </c>
      <c r="J4" s="66"/>
    </row>
    <row r="5" spans="1:10" ht="36" customHeight="1">
      <c r="A5" s="4">
        <v>4</v>
      </c>
      <c r="B5" s="65"/>
      <c r="C5" s="60"/>
      <c r="D5" s="5"/>
      <c r="E5" s="176" t="s">
        <v>63</v>
      </c>
      <c r="F5" s="167"/>
      <c r="G5" s="50"/>
      <c r="H5" s="51"/>
      <c r="I5" s="191" t="s">
        <v>63</v>
      </c>
      <c r="J5" s="66"/>
    </row>
    <row r="6" spans="1:10" ht="36" customHeight="1">
      <c r="A6" s="4">
        <v>5</v>
      </c>
      <c r="B6" s="65"/>
      <c r="C6" s="60"/>
      <c r="D6" s="4"/>
      <c r="E6" s="176" t="s">
        <v>63</v>
      </c>
      <c r="F6" s="167"/>
      <c r="G6" s="50"/>
      <c r="H6" s="51"/>
      <c r="I6" s="191" t="s">
        <v>63</v>
      </c>
      <c r="J6" s="66"/>
    </row>
    <row r="7" spans="1:10" ht="36" customHeight="1">
      <c r="A7" s="4">
        <v>6</v>
      </c>
      <c r="B7" s="65"/>
      <c r="C7" s="60"/>
      <c r="D7" s="4"/>
      <c r="E7" s="176" t="s">
        <v>63</v>
      </c>
      <c r="F7" s="167"/>
      <c r="G7" s="50"/>
      <c r="H7" s="51"/>
      <c r="I7" s="191" t="s">
        <v>63</v>
      </c>
      <c r="J7" s="66"/>
    </row>
    <row r="8" spans="1:10" ht="36" customHeight="1">
      <c r="A8" s="4">
        <v>7</v>
      </c>
      <c r="B8" s="65"/>
      <c r="C8" s="60"/>
      <c r="D8" s="4"/>
      <c r="E8" s="176" t="s">
        <v>63</v>
      </c>
      <c r="F8" s="167"/>
      <c r="G8" s="50"/>
      <c r="H8" s="51"/>
      <c r="I8" s="191" t="s">
        <v>63</v>
      </c>
      <c r="J8" s="66"/>
    </row>
    <row r="9" spans="1:10" ht="36" customHeight="1">
      <c r="A9" s="4">
        <v>8</v>
      </c>
      <c r="B9" s="65"/>
      <c r="C9" s="60"/>
      <c r="D9" s="8"/>
      <c r="E9" s="176" t="s">
        <v>63</v>
      </c>
      <c r="F9" s="167"/>
      <c r="G9" s="50"/>
      <c r="H9" s="51"/>
      <c r="I9" s="191" t="s">
        <v>63</v>
      </c>
      <c r="J9" s="65"/>
    </row>
    <row r="10" spans="1:10" ht="36" customHeight="1">
      <c r="A10" s="4">
        <v>9</v>
      </c>
      <c r="B10" s="65"/>
      <c r="C10" s="60"/>
      <c r="D10" s="4"/>
      <c r="E10" s="176" t="s">
        <v>63</v>
      </c>
      <c r="F10" s="167"/>
      <c r="G10" s="50"/>
      <c r="H10" s="51"/>
      <c r="I10" s="191" t="s">
        <v>63</v>
      </c>
      <c r="J10" s="65"/>
    </row>
    <row r="11" spans="1:10" ht="36" customHeight="1">
      <c r="A11" s="4">
        <v>10</v>
      </c>
      <c r="B11" s="145"/>
      <c r="C11" s="61"/>
      <c r="D11" s="9"/>
      <c r="E11" s="176" t="s">
        <v>63</v>
      </c>
      <c r="F11" s="168"/>
      <c r="G11" s="157"/>
      <c r="H11" s="51"/>
      <c r="I11" s="191" t="s">
        <v>63</v>
      </c>
      <c r="J11" s="65"/>
    </row>
    <row r="12" spans="1:10" ht="36" customHeight="1">
      <c r="A12" s="4">
        <v>11</v>
      </c>
      <c r="B12" s="65"/>
      <c r="C12" s="60"/>
      <c r="D12" s="4"/>
      <c r="E12" s="176" t="s">
        <v>63</v>
      </c>
      <c r="F12" s="167"/>
      <c r="G12" s="50"/>
      <c r="H12" s="51"/>
      <c r="I12" s="191" t="s">
        <v>63</v>
      </c>
      <c r="J12" s="65"/>
    </row>
    <row r="13" spans="1:10" ht="36" customHeight="1">
      <c r="A13" s="4">
        <v>12</v>
      </c>
      <c r="B13" s="65"/>
      <c r="C13" s="60"/>
      <c r="D13" s="4"/>
      <c r="E13" s="176" t="s">
        <v>63</v>
      </c>
      <c r="F13" s="167"/>
      <c r="G13" s="157"/>
      <c r="H13" s="51"/>
      <c r="I13" s="191" t="s">
        <v>63</v>
      </c>
      <c r="J13" s="65"/>
    </row>
    <row r="14" spans="1:10" ht="36" customHeight="1">
      <c r="E14" s="206" t="s">
        <v>68</v>
      </c>
      <c r="F14" s="207"/>
      <c r="G14" s="50">
        <f>SUM(G2:G13)</f>
        <v>0</v>
      </c>
      <c r="H14" s="50">
        <f>SUM(H2:H13)</f>
        <v>0</v>
      </c>
      <c r="I14" s="13"/>
    </row>
    <row r="15" spans="1:10" ht="36" customHeight="1">
      <c r="F15" s="13"/>
      <c r="I15" s="13"/>
    </row>
    <row r="16" spans="1:10" ht="36" customHeight="1">
      <c r="F16" s="13"/>
      <c r="I16" s="13"/>
    </row>
  </sheetData>
  <customSheetViews>
    <customSheetView guid="{6F922FB1-F68A-46DE-A607-10E765F3DA60}" scale="75" showPageBreaks="1" fitToPage="1">
      <pane xSplit="2" ySplit="1" topLeftCell="C2" activePane="bottomRight" state="frozen"/>
      <selection pane="bottomRight" activeCell="B5" sqref="B5"/>
      <pageMargins left="0.78740157480314965" right="0.78740157480314965" top="1.5748031496062993" bottom="0.78740157480314965" header="1.1811023622047245" footer="0.51181102362204722"/>
      <pageSetup paperSize="9" scale="85" fitToHeight="0" orientation="landscape" horizontalDpi="4294967293" verticalDpi="4294967293" r:id="rId1"/>
      <headerFooter alignWithMargins="0">
        <oddHeader>&amp;C&amp;"ＭＳ Ｐ明朝,太字"&amp;14 ⑫　有価証券目録</oddHeader>
        <oddFooter>&amp;R&amp;"ＭＳ Ｐ明朝,標準"ver.3.0</oddFooter>
      </headerFooter>
    </customSheetView>
    <customSheetView guid="{3B0C33F4-61B3-4DD1-861F-A18C21F5A24B}" scale="75" showPageBreaks="1" fitToPage="1">
      <pane xSplit="2" ySplit="1" topLeftCell="C2" activePane="bottomRight" state="frozen"/>
      <selection pane="bottomRight" activeCell="G17" sqref="G17"/>
      <pageMargins left="0.78740157480314965" right="0.78740157480314965" top="1.5748031496062993" bottom="0.78740157480314965" header="1.1811023622047245" footer="0.51181102362204722"/>
      <pageSetup paperSize="9" scale="85" fitToHeight="0" orientation="landscape" horizontalDpi="4294967293" verticalDpi="4294967293" r:id="rId2"/>
      <headerFooter alignWithMargins="0">
        <oddHeader>&amp;C&amp;"ＭＳ Ｐ明朝,太字"&amp;14⑪　有価証券目録</oddHeader>
        <oddFooter>&amp;R&amp;"ＭＳ Ｐ明朝,標準"ver.4.0</oddFooter>
      </headerFooter>
    </customSheetView>
    <customSheetView guid="{A40A9BDD-82B7-45A5-8C28-2E6774722F71}" scale="75" fitToPage="1">
      <pane xSplit="2" ySplit="1" topLeftCell="C2" activePane="bottomRight" state="frozen"/>
      <selection pane="bottomRight" activeCell="B5" sqref="B5"/>
      <pageMargins left="0.78740157480314965" right="0.78740157480314965" top="1.5748031496062993" bottom="0.78740157480314965" header="1.1811023622047245" footer="0.51181102362204722"/>
      <pageSetup paperSize="9" scale="85" fitToHeight="0" orientation="landscape" horizontalDpi="4294967293" verticalDpi="4294967293" r:id="rId3"/>
      <headerFooter alignWithMargins="0">
        <oddHeader>&amp;C&amp;"ＭＳ Ｐ明朝,太字"&amp;14 ⑫　有価証券目録</oddHeader>
        <oddFooter>&amp;R&amp;"ＭＳ Ｐ明朝,標準"ver.3.0</oddFooter>
      </headerFooter>
    </customSheetView>
  </customSheetViews>
  <mergeCells count="2">
    <mergeCell ref="E1:F1"/>
    <mergeCell ref="E14:F14"/>
  </mergeCells>
  <phoneticPr fontId="6"/>
  <conditionalFormatting sqref="H2:H13">
    <cfRule type="expression" dxfId="4" priority="1" stopIfTrue="1">
      <formula>ISBLANK($G2)</formula>
    </cfRule>
  </conditionalFormatting>
  <dataValidations count="2">
    <dataValidation imeMode="off" allowBlank="1" showInputMessage="1" showErrorMessage="1" sqref="E14 D10:D13 C10:C65536 K1:IV1048576 A1:A1048576 G1:H1048576 C1:D9 D15:E65536"/>
    <dataValidation imeMode="on" allowBlank="1" showInputMessage="1" showErrorMessage="1" sqref="F15:F65536 B1:B1048576 E2:F13 E1 I1:J1048576"/>
  </dataValidations>
  <pageMargins left="0.78740157480314965" right="0.78740157480314965" top="1.5748031496062993" bottom="0.78740157480314965" header="1.1811023622047245" footer="0.51181102362204722"/>
  <pageSetup paperSize="9" scale="85" fitToHeight="0" orientation="landscape" horizontalDpi="4294967293" verticalDpi="4294967293" r:id="rId4"/>
  <headerFooter alignWithMargins="0">
    <oddHeader>&amp;C&amp;"ＭＳ Ｐ明朝,太字"&amp;14 ⑪　有価証券目録</oddHeader>
    <oddFooter>&amp;C&amp;P&amp;R&amp;"ＭＳ Ｐ明朝,標準"ver.4.0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I16"/>
  <sheetViews>
    <sheetView zoomScale="90" zoomScaleNormal="9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33.75" customHeight="1"/>
  <cols>
    <col min="1" max="1" width="4.625" style="15" bestFit="1" customWidth="1"/>
    <col min="2" max="2" width="26.5" style="2" customWidth="1"/>
    <col min="3" max="3" width="15" style="59" customWidth="1"/>
    <col min="4" max="4" width="14.875" style="59" customWidth="1"/>
    <col min="5" max="5" width="15" style="59" customWidth="1"/>
    <col min="6" max="7" width="15" style="19" customWidth="1"/>
    <col min="8" max="8" width="5" style="2" customWidth="1"/>
    <col min="9" max="9" width="27.25" style="19" customWidth="1"/>
    <col min="10" max="16384" width="27" style="15"/>
  </cols>
  <sheetData>
    <row r="1" spans="1:9" s="88" customFormat="1" ht="33.75" customHeight="1" thickBot="1">
      <c r="A1" s="103" t="s">
        <v>60</v>
      </c>
      <c r="B1" s="103" t="s">
        <v>98</v>
      </c>
      <c r="C1" s="105" t="s">
        <v>40</v>
      </c>
      <c r="D1" s="109" t="s">
        <v>41</v>
      </c>
      <c r="E1" s="109" t="s">
        <v>42</v>
      </c>
      <c r="F1" s="109" t="s">
        <v>97</v>
      </c>
      <c r="G1" s="109" t="s">
        <v>44</v>
      </c>
      <c r="H1" s="106" t="s">
        <v>101</v>
      </c>
      <c r="I1" s="109" t="s">
        <v>50</v>
      </c>
    </row>
    <row r="2" spans="1:9" ht="33.75" customHeight="1" thickTop="1">
      <c r="A2" s="1">
        <v>1</v>
      </c>
      <c r="B2" s="169"/>
      <c r="C2" s="51"/>
      <c r="D2" s="51">
        <f>C2</f>
        <v>0</v>
      </c>
      <c r="E2" s="51"/>
      <c r="F2" s="51"/>
      <c r="G2" s="51"/>
      <c r="H2" s="175" t="s">
        <v>63</v>
      </c>
      <c r="I2" s="185"/>
    </row>
    <row r="3" spans="1:9" ht="33.75" customHeight="1">
      <c r="A3" s="1">
        <v>2</v>
      </c>
      <c r="B3" s="169"/>
      <c r="C3" s="170"/>
      <c r="D3" s="51">
        <f t="shared" ref="D3:D13" si="0">C3</f>
        <v>0</v>
      </c>
      <c r="E3" s="51"/>
      <c r="F3" s="51"/>
      <c r="G3" s="51"/>
      <c r="H3" s="175" t="s">
        <v>63</v>
      </c>
      <c r="I3" s="146"/>
    </row>
    <row r="4" spans="1:9" ht="33.75" customHeight="1">
      <c r="A4" s="1">
        <v>3</v>
      </c>
      <c r="B4" s="65"/>
      <c r="C4" s="50"/>
      <c r="D4" s="51">
        <f t="shared" si="0"/>
        <v>0</v>
      </c>
      <c r="E4" s="50"/>
      <c r="F4" s="50"/>
      <c r="G4" s="51"/>
      <c r="H4" s="175" t="s">
        <v>63</v>
      </c>
      <c r="I4" s="146"/>
    </row>
    <row r="5" spans="1:9" ht="33.75" customHeight="1">
      <c r="A5" s="1">
        <v>4</v>
      </c>
      <c r="B5" s="169"/>
      <c r="C5" s="170"/>
      <c r="D5" s="51">
        <f t="shared" si="0"/>
        <v>0</v>
      </c>
      <c r="E5" s="51"/>
      <c r="F5" s="51"/>
      <c r="G5" s="51"/>
      <c r="H5" s="175" t="s">
        <v>63</v>
      </c>
      <c r="I5" s="146"/>
    </row>
    <row r="6" spans="1:9" ht="33.75" customHeight="1">
      <c r="A6" s="1">
        <v>5</v>
      </c>
      <c r="B6" s="65"/>
      <c r="C6" s="50"/>
      <c r="D6" s="51">
        <f t="shared" si="0"/>
        <v>0</v>
      </c>
      <c r="E6" s="50"/>
      <c r="F6" s="50"/>
      <c r="G6" s="51"/>
      <c r="H6" s="175" t="s">
        <v>63</v>
      </c>
      <c r="I6" s="146"/>
    </row>
    <row r="7" spans="1:9" ht="33.75" customHeight="1">
      <c r="A7" s="1">
        <v>6</v>
      </c>
      <c r="B7" s="169"/>
      <c r="C7" s="170"/>
      <c r="D7" s="51">
        <f t="shared" si="0"/>
        <v>0</v>
      </c>
      <c r="E7" s="51"/>
      <c r="F7" s="51"/>
      <c r="G7" s="51"/>
      <c r="H7" s="175" t="s">
        <v>63</v>
      </c>
      <c r="I7" s="146"/>
    </row>
    <row r="8" spans="1:9" ht="33.75" customHeight="1">
      <c r="A8" s="1">
        <v>7</v>
      </c>
      <c r="B8" s="65"/>
      <c r="C8" s="50"/>
      <c r="D8" s="51">
        <f t="shared" si="0"/>
        <v>0</v>
      </c>
      <c r="E8" s="50"/>
      <c r="F8" s="50"/>
      <c r="G8" s="51"/>
      <c r="H8" s="175" t="s">
        <v>63</v>
      </c>
      <c r="I8" s="146"/>
    </row>
    <row r="9" spans="1:9" ht="33.75" customHeight="1">
      <c r="A9" s="1">
        <v>8</v>
      </c>
      <c r="B9" s="169"/>
      <c r="C9" s="170"/>
      <c r="D9" s="51">
        <f t="shared" si="0"/>
        <v>0</v>
      </c>
      <c r="E9" s="51"/>
      <c r="F9" s="51"/>
      <c r="G9" s="51"/>
      <c r="H9" s="175" t="s">
        <v>63</v>
      </c>
      <c r="I9" s="146"/>
    </row>
    <row r="10" spans="1:9" ht="33.75" customHeight="1">
      <c r="A10" s="1">
        <v>9</v>
      </c>
      <c r="B10" s="65"/>
      <c r="C10" s="50"/>
      <c r="D10" s="51">
        <f t="shared" si="0"/>
        <v>0</v>
      </c>
      <c r="E10" s="50"/>
      <c r="F10" s="50"/>
      <c r="G10" s="51"/>
      <c r="H10" s="175" t="s">
        <v>63</v>
      </c>
      <c r="I10" s="146"/>
    </row>
    <row r="11" spans="1:9" ht="33.75" customHeight="1">
      <c r="A11" s="1">
        <v>10</v>
      </c>
      <c r="B11" s="169"/>
      <c r="C11" s="170"/>
      <c r="D11" s="51">
        <f t="shared" si="0"/>
        <v>0</v>
      </c>
      <c r="E11" s="51"/>
      <c r="F11" s="51"/>
      <c r="G11" s="51"/>
      <c r="H11" s="175" t="s">
        <v>63</v>
      </c>
      <c r="I11" s="146"/>
    </row>
    <row r="12" spans="1:9" ht="33.75" customHeight="1">
      <c r="A12" s="1">
        <v>11</v>
      </c>
      <c r="B12" s="65"/>
      <c r="C12" s="50"/>
      <c r="D12" s="51">
        <f t="shared" si="0"/>
        <v>0</v>
      </c>
      <c r="E12" s="50"/>
      <c r="F12" s="50"/>
      <c r="G12" s="51"/>
      <c r="H12" s="175" t="s">
        <v>63</v>
      </c>
      <c r="I12" s="146"/>
    </row>
    <row r="13" spans="1:9" ht="33.75" customHeight="1">
      <c r="A13" s="1">
        <v>12</v>
      </c>
      <c r="B13" s="65"/>
      <c r="C13" s="50"/>
      <c r="D13" s="51">
        <f t="shared" si="0"/>
        <v>0</v>
      </c>
      <c r="E13" s="50"/>
      <c r="F13" s="50"/>
      <c r="G13" s="51"/>
      <c r="H13" s="175" t="s">
        <v>63</v>
      </c>
      <c r="I13" s="146"/>
    </row>
    <row r="14" spans="1:9" ht="33.75" customHeight="1">
      <c r="B14" s="4" t="s">
        <v>105</v>
      </c>
      <c r="C14" s="50">
        <f>SUM(C2:C13)</f>
        <v>0</v>
      </c>
      <c r="D14" s="50">
        <f>SUM(D2:D13)</f>
        <v>0</v>
      </c>
      <c r="E14" s="50">
        <f>SUM(E2:E13)</f>
        <v>0</v>
      </c>
      <c r="F14" s="50">
        <f>SUM(F2:F13)</f>
        <v>0</v>
      </c>
      <c r="G14" s="50">
        <f>SUM(G2:G13)</f>
        <v>0</v>
      </c>
      <c r="H14" s="17"/>
      <c r="I14" s="128"/>
    </row>
    <row r="15" spans="1:9" ht="33.75" customHeight="1">
      <c r="H15" s="17"/>
    </row>
    <row r="16" spans="1:9" ht="33.75" customHeight="1">
      <c r="H16" s="17"/>
    </row>
  </sheetData>
  <customSheetViews>
    <customSheetView guid="{6F922FB1-F68A-46DE-A607-10E765F3DA60}" scale="90" showPageBreaks="1" fitToPage="1">
      <pane xSplit="2" ySplit="1" topLeftCell="C2" activePane="bottomRight" state="frozen"/>
      <selection pane="bottomRight" activeCell="B2" sqref="B2"/>
      <pageMargins left="0.78740157480314965" right="0.78740157480314965" top="1.5748031496062993" bottom="0.78740157480314965" header="1.1811023622047245" footer="0.51181102362204722"/>
      <pageSetup paperSize="9" scale="95" fitToHeight="0" orientation="landscape" horizontalDpi="4294967293" verticalDpi="4294967293" r:id="rId1"/>
      <headerFooter alignWithMargins="0">
        <oddHeader>&amp;C&amp;"ＭＳ Ｐ明朝,太字"&amp;14 ⑬　賃借保証金・敷金目録</oddHeader>
        <oddFooter>&amp;R&amp;"ＭＳ Ｐ明朝,標準"ver.3.0</oddFooter>
      </headerFooter>
    </customSheetView>
    <customSheetView guid="{3B0C33F4-61B3-4DD1-861F-A18C21F5A24B}" scale="90" showPageBreaks="1" fitToPage="1">
      <pane xSplit="2" ySplit="1" topLeftCell="C7" activePane="bottomRight" state="frozen"/>
      <selection pane="bottomRight" activeCell="G17" sqref="G17"/>
      <pageMargins left="0.78740157480314965" right="0.78740157480314965" top="1.5748031496062993" bottom="0.78740157480314965" header="1.1811023622047245" footer="0.51181102362204722"/>
      <pageSetup paperSize="9" scale="95" fitToHeight="0" orientation="landscape" horizontalDpi="4294967293" verticalDpi="4294967293" r:id="rId2"/>
      <headerFooter alignWithMargins="0">
        <oddHeader>&amp;C&amp;"ＭＳ Ｐ明朝,太字"&amp;14⑫　賃借保証金・敷金目録</oddHeader>
        <oddFooter>&amp;R&amp;"ＭＳ Ｐ明朝,標準"ver.4.0</oddFooter>
      </headerFooter>
    </customSheetView>
    <customSheetView guid="{A40A9BDD-82B7-45A5-8C28-2E6774722F71}" scale="90" fitToPage="1">
      <pane xSplit="2" ySplit="1" topLeftCell="C2" activePane="bottomRight" state="frozen"/>
      <selection pane="bottomRight" activeCell="B2" sqref="B2"/>
      <pageMargins left="0.78740157480314965" right="0.78740157480314965" top="1.5748031496062993" bottom="0.78740157480314965" header="1.1811023622047245" footer="0.51181102362204722"/>
      <pageSetup paperSize="9" scale="95" fitToHeight="0" orientation="landscape" horizontalDpi="4294967293" verticalDpi="4294967293" r:id="rId3"/>
      <headerFooter alignWithMargins="0">
        <oddHeader>&amp;C&amp;"ＭＳ Ｐ明朝,太字"&amp;14 ⑬　賃借保証金・敷金目録</oddHeader>
        <oddFooter>&amp;R&amp;"ＭＳ Ｐ明朝,標準"ver.3.0</oddFooter>
      </headerFooter>
    </customSheetView>
  </customSheetViews>
  <phoneticPr fontId="6"/>
  <conditionalFormatting sqref="D2:D13">
    <cfRule type="expression" dxfId="3" priority="1" stopIfTrue="1">
      <formula>ISBLANK($C2)</formula>
    </cfRule>
  </conditionalFormatting>
  <conditionalFormatting sqref="G2:I13">
    <cfRule type="expression" dxfId="2" priority="2" stopIfTrue="1">
      <formula>ISBLANK($C2)</formula>
    </cfRule>
  </conditionalFormatting>
  <dataValidations count="2">
    <dataValidation imeMode="off" allowBlank="1" showInputMessage="1" showErrorMessage="1" sqref="A1:A1048576 J1:IV1048576 C1:G1048576 H14:H1048576 H1 I1 I14:I1048576"/>
    <dataValidation imeMode="on" allowBlank="1" showInputMessage="1" showErrorMessage="1" sqref="B1:B1048576 H2:H13 I2:I13"/>
  </dataValidations>
  <pageMargins left="0.78740157480314965" right="0.78740157480314965" top="1.5748031496062993" bottom="0.78740157480314965" header="1.1811023622047245" footer="0.51181102362204722"/>
  <pageSetup paperSize="9" scale="95" fitToHeight="0" orientation="landscape" horizontalDpi="4294967293" verticalDpi="4294967293" r:id="rId4"/>
  <headerFooter alignWithMargins="0">
    <oddHeader>&amp;C&amp;"ＭＳ Ｐ明朝,太字"&amp;14 ⑫　賃借保証金・敷金目録</oddHeader>
    <oddFooter>&amp;C&amp;P&amp;R&amp;"ＭＳ Ｐ明朝,標準"ver.4.0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16"/>
  <sheetViews>
    <sheetView zoomScale="90" zoomScaleNormal="9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33.75" customHeight="1"/>
  <cols>
    <col min="1" max="1" width="4.625" style="2" bestFit="1" customWidth="1"/>
    <col min="2" max="2" width="26.375" style="2" customWidth="1"/>
    <col min="3" max="3" width="12.875" style="2" customWidth="1"/>
    <col min="4" max="4" width="20.875" style="2" customWidth="1"/>
    <col min="5" max="6" width="18" style="19" bestFit="1" customWidth="1"/>
    <col min="7" max="7" width="5" style="2" customWidth="1"/>
    <col min="8" max="8" width="26.375" style="15" customWidth="1"/>
    <col min="9" max="16384" width="27" style="15"/>
  </cols>
  <sheetData>
    <row r="1" spans="1:8" s="88" customFormat="1" ht="33.75" customHeight="1" thickBot="1">
      <c r="A1" s="103" t="s">
        <v>60</v>
      </c>
      <c r="B1" s="103" t="s">
        <v>99</v>
      </c>
      <c r="C1" s="103" t="s">
        <v>22</v>
      </c>
      <c r="D1" s="103" t="s">
        <v>23</v>
      </c>
      <c r="E1" s="109" t="s">
        <v>103</v>
      </c>
      <c r="F1" s="109" t="s">
        <v>62</v>
      </c>
      <c r="G1" s="103" t="s">
        <v>24</v>
      </c>
      <c r="H1" s="103" t="s">
        <v>20</v>
      </c>
    </row>
    <row r="2" spans="1:8" ht="33.75" customHeight="1" thickTop="1">
      <c r="A2" s="1">
        <v>1</v>
      </c>
      <c r="B2" s="169"/>
      <c r="D2" s="70"/>
      <c r="E2" s="51"/>
      <c r="F2" s="51"/>
      <c r="G2" s="175" t="s">
        <v>63</v>
      </c>
      <c r="H2" s="64"/>
    </row>
    <row r="3" spans="1:8" ht="33.75" customHeight="1">
      <c r="A3" s="1">
        <v>2</v>
      </c>
      <c r="B3" s="161"/>
      <c r="C3" s="4"/>
      <c r="D3" s="71"/>
      <c r="E3" s="51"/>
      <c r="F3" s="51"/>
      <c r="G3" s="175" t="s">
        <v>110</v>
      </c>
      <c r="H3" s="139"/>
    </row>
    <row r="4" spans="1:8" ht="33.75" customHeight="1">
      <c r="A4" s="1">
        <v>3</v>
      </c>
      <c r="B4" s="161"/>
      <c r="C4" s="4"/>
      <c r="D4" s="71"/>
      <c r="E4" s="51"/>
      <c r="F4" s="51"/>
      <c r="G4" s="175" t="s">
        <v>110</v>
      </c>
      <c r="H4" s="139"/>
    </row>
    <row r="5" spans="1:8" ht="33.75" customHeight="1">
      <c r="A5" s="1">
        <v>4</v>
      </c>
      <c r="B5" s="161"/>
      <c r="C5" s="4"/>
      <c r="D5" s="71"/>
      <c r="E5" s="51"/>
      <c r="F5" s="51"/>
      <c r="G5" s="187" t="s">
        <v>110</v>
      </c>
      <c r="H5" s="66"/>
    </row>
    <row r="6" spans="1:8" ht="33.75" customHeight="1">
      <c r="A6" s="1">
        <v>5</v>
      </c>
      <c r="B6" s="161"/>
      <c r="C6" s="4"/>
      <c r="D6" s="71"/>
      <c r="E6" s="51"/>
      <c r="F6" s="51"/>
      <c r="G6" s="175" t="s">
        <v>63</v>
      </c>
      <c r="H6" s="65"/>
    </row>
    <row r="7" spans="1:8" ht="33.75" customHeight="1">
      <c r="A7" s="1">
        <v>6</v>
      </c>
      <c r="B7" s="161"/>
      <c r="C7" s="4"/>
      <c r="D7" s="71"/>
      <c r="E7" s="51"/>
      <c r="F7" s="51"/>
      <c r="G7" s="175" t="s">
        <v>63</v>
      </c>
      <c r="H7" s="65"/>
    </row>
    <row r="8" spans="1:8" ht="33.75" customHeight="1">
      <c r="A8" s="1">
        <v>7</v>
      </c>
      <c r="B8" s="161"/>
      <c r="C8" s="4"/>
      <c r="D8" s="72"/>
      <c r="E8" s="50"/>
      <c r="F8" s="51"/>
      <c r="G8" s="175" t="s">
        <v>63</v>
      </c>
      <c r="H8" s="65"/>
    </row>
    <row r="9" spans="1:8" ht="33.75" customHeight="1">
      <c r="A9" s="1">
        <v>8</v>
      </c>
      <c r="B9" s="161"/>
      <c r="C9" s="4"/>
      <c r="D9" s="72"/>
      <c r="E9" s="50"/>
      <c r="F9" s="51"/>
      <c r="G9" s="175" t="s">
        <v>63</v>
      </c>
      <c r="H9" s="65"/>
    </row>
    <row r="10" spans="1:8" ht="33.75" customHeight="1">
      <c r="A10" s="1">
        <v>9</v>
      </c>
      <c r="B10" s="161"/>
      <c r="C10" s="4"/>
      <c r="D10" s="72"/>
      <c r="E10" s="50"/>
      <c r="F10" s="51"/>
      <c r="G10" s="175" t="s">
        <v>63</v>
      </c>
      <c r="H10" s="65"/>
    </row>
    <row r="11" spans="1:8" ht="33.75" customHeight="1">
      <c r="A11" s="1">
        <v>10</v>
      </c>
      <c r="B11" s="161"/>
      <c r="C11" s="4"/>
      <c r="D11" s="72"/>
      <c r="E11" s="50"/>
      <c r="F11" s="51"/>
      <c r="G11" s="175" t="s">
        <v>63</v>
      </c>
      <c r="H11" s="65"/>
    </row>
    <row r="12" spans="1:8" ht="33.75" customHeight="1">
      <c r="A12" s="1">
        <v>11</v>
      </c>
      <c r="B12" s="161"/>
      <c r="C12" s="4"/>
      <c r="D12" s="71"/>
      <c r="E12" s="50"/>
      <c r="F12" s="51"/>
      <c r="G12" s="175" t="s">
        <v>63</v>
      </c>
      <c r="H12" s="65"/>
    </row>
    <row r="13" spans="1:8" ht="33.75" customHeight="1">
      <c r="A13" s="1">
        <v>12</v>
      </c>
      <c r="B13" s="161"/>
      <c r="C13" s="4"/>
      <c r="D13" s="71"/>
      <c r="E13" s="50"/>
      <c r="F13" s="51"/>
      <c r="G13" s="175" t="s">
        <v>63</v>
      </c>
      <c r="H13" s="65"/>
    </row>
    <row r="14" spans="1:8" ht="33.75" customHeight="1">
      <c r="D14" s="1" t="s">
        <v>68</v>
      </c>
      <c r="E14" s="51">
        <f>SUM(E2:E13)</f>
        <v>0</v>
      </c>
      <c r="F14" s="51">
        <f>SUM(F2:F13)</f>
        <v>0</v>
      </c>
      <c r="G14" s="17"/>
    </row>
    <row r="15" spans="1:8" ht="33.75" customHeight="1">
      <c r="G15" s="17"/>
    </row>
    <row r="16" spans="1:8" ht="33.75" customHeight="1">
      <c r="G16" s="17"/>
    </row>
  </sheetData>
  <customSheetViews>
    <customSheetView guid="{6F922FB1-F68A-46DE-A607-10E765F3DA60}" scale="90" showPageBreaks="1" fitToPage="1">
      <pane xSplit="2" ySplit="1" topLeftCell="C2" activePane="bottomRight" state="frozen"/>
      <selection pane="bottomRight" activeCell="G12" sqref="G12"/>
      <pageMargins left="0.78740157480314965" right="0.78740157480314965" top="1.5748031496062993" bottom="0.78740157480314965" header="1.1811023622047245" footer="0.51181102362204722"/>
      <pageSetup paperSize="9" scale="99" fitToHeight="0" orientation="landscape" horizontalDpi="4294967293" verticalDpi="4294967293" r:id="rId1"/>
      <headerFooter alignWithMargins="0">
        <oddHeader>&amp;C&amp;"ＭＳ Ｐ明朝,太字"&amp;14 ⑭　保険目録</oddHeader>
        <oddFooter>&amp;R&amp;"ＭＳ Ｐ明朝,標準"ver.3.0</oddFooter>
      </headerFooter>
    </customSheetView>
    <customSheetView guid="{3B0C33F4-61B3-4DD1-861F-A18C21F5A24B}" scale="90" showPageBreaks="1" fitToPage="1">
      <pane xSplit="2" ySplit="1" topLeftCell="C2" activePane="bottomRight" state="frozen"/>
      <selection pane="bottomRight" activeCell="G17" sqref="G17"/>
      <pageMargins left="0.78740157480314965" right="0.78740157480314965" top="1.5748031496062993" bottom="0.78740157480314965" header="1.1811023622047245" footer="0.51181102362204722"/>
      <pageSetup paperSize="9" scale="99" fitToHeight="0" orientation="landscape" horizontalDpi="4294967293" verticalDpi="4294967293" r:id="rId2"/>
      <headerFooter alignWithMargins="0">
        <oddHeader>&amp;C&amp;"ＭＳ Ｐ明朝,太字"&amp;14⑬　保険目録</oddHeader>
        <oddFooter>&amp;R&amp;"ＭＳ Ｐ明朝,標準"ver.4.0</oddFooter>
      </headerFooter>
    </customSheetView>
    <customSheetView guid="{A40A9BDD-82B7-45A5-8C28-2E6774722F71}" scale="90" fitToPage="1">
      <pane xSplit="2" ySplit="1" topLeftCell="C2" activePane="bottomRight" state="frozen"/>
      <selection pane="bottomRight" activeCell="B2" sqref="B2"/>
      <pageMargins left="0.78740157480314965" right="0.78740157480314965" top="1.5748031496062993" bottom="0.78740157480314965" header="1.1811023622047245" footer="0.51181102362204722"/>
      <pageSetup paperSize="9" scale="99" fitToHeight="0" orientation="landscape" horizontalDpi="4294967293" verticalDpi="4294967293" r:id="rId3"/>
      <headerFooter alignWithMargins="0">
        <oddHeader>&amp;C&amp;"ＭＳ Ｐ明朝,太字"&amp;14 ⑭　保険目録</oddHeader>
        <oddFooter>&amp;R&amp;"ＭＳ Ｐ明朝,標準"ver.3.0</oddFooter>
      </headerFooter>
    </customSheetView>
  </customSheetViews>
  <phoneticPr fontId="6"/>
  <conditionalFormatting sqref="F2:G13">
    <cfRule type="expression" dxfId="1" priority="1" stopIfTrue="1">
      <formula>ISBLANK($E2)</formula>
    </cfRule>
  </conditionalFormatting>
  <dataValidations count="2">
    <dataValidation imeMode="off" allowBlank="1" showInputMessage="1" showErrorMessage="1" sqref="I1:IV1048576 A1:A1048576 E1:F1048576 G1 G14:G1048576"/>
    <dataValidation imeMode="on" allowBlank="1" showInputMessage="1" showErrorMessage="1" sqref="H1:H1048576 B1:D1048576 G2:G13"/>
  </dataValidations>
  <pageMargins left="0.78740157480314965" right="0.78740157480314965" top="1.5748031496062993" bottom="0.78740157480314965" header="1.1811023622047245" footer="0.51181102362204722"/>
  <pageSetup paperSize="9" scale="99" fitToHeight="0" orientation="landscape" horizontalDpi="4294967293" verticalDpi="4294967293" r:id="rId4"/>
  <headerFooter alignWithMargins="0">
    <oddHeader>&amp;C&amp;"ＭＳ Ｐ明朝,太字"&amp;14 ⑬　保険目録</oddHeader>
    <oddFooter>&amp;C&amp;P&amp;R&amp;"ＭＳ Ｐ明朝,標準"ver.4.0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H13"/>
  <sheetViews>
    <sheetView zoomScale="90" zoomScaleNormal="9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6.375" style="2" customWidth="1"/>
    <col min="3" max="3" width="16.875" style="2" customWidth="1"/>
    <col min="4" max="4" width="18" style="19" bestFit="1" customWidth="1"/>
    <col min="5" max="6" width="18" style="19" customWidth="1"/>
    <col min="7" max="7" width="11.125" style="19" customWidth="1"/>
    <col min="8" max="8" width="26.25" style="15" customWidth="1"/>
    <col min="9" max="16384" width="27" style="15"/>
  </cols>
  <sheetData>
    <row r="1" spans="1:8" s="88" customFormat="1" ht="52.5" customHeight="1" thickBot="1">
      <c r="A1" s="103" t="s">
        <v>87</v>
      </c>
      <c r="B1" s="103" t="s">
        <v>100</v>
      </c>
      <c r="C1" s="103" t="s">
        <v>88</v>
      </c>
      <c r="D1" s="109" t="s">
        <v>106</v>
      </c>
      <c r="E1" s="109" t="s">
        <v>107</v>
      </c>
      <c r="F1" s="109" t="s">
        <v>108</v>
      </c>
      <c r="G1" s="109" t="s">
        <v>109</v>
      </c>
      <c r="H1" s="130" t="s">
        <v>50</v>
      </c>
    </row>
    <row r="2" spans="1:8" ht="36" customHeight="1" thickTop="1">
      <c r="A2" s="129">
        <v>1</v>
      </c>
      <c r="B2" s="171"/>
      <c r="C2" s="172"/>
      <c r="D2" s="172"/>
      <c r="E2" s="172"/>
      <c r="F2" s="172"/>
      <c r="G2" s="175" t="s">
        <v>63</v>
      </c>
      <c r="H2" s="147"/>
    </row>
    <row r="3" spans="1:8" ht="36" customHeight="1">
      <c r="A3" s="1">
        <v>2</v>
      </c>
      <c r="B3" s="161"/>
      <c r="C3" s="51"/>
      <c r="D3" s="51"/>
      <c r="E3" s="51"/>
      <c r="F3" s="51"/>
      <c r="G3" s="175" t="s">
        <v>63</v>
      </c>
      <c r="H3" s="65"/>
    </row>
    <row r="4" spans="1:8" ht="36" customHeight="1">
      <c r="A4" s="1">
        <v>3</v>
      </c>
      <c r="B4" s="161"/>
      <c r="C4" s="51"/>
      <c r="D4" s="51"/>
      <c r="E4" s="51"/>
      <c r="F4" s="51"/>
      <c r="G4" s="175" t="s">
        <v>63</v>
      </c>
      <c r="H4" s="65"/>
    </row>
    <row r="5" spans="1:8" ht="36" customHeight="1">
      <c r="A5" s="1">
        <v>4</v>
      </c>
      <c r="B5" s="161"/>
      <c r="C5" s="51"/>
      <c r="D5" s="50"/>
      <c r="E5" s="50"/>
      <c r="F5" s="50"/>
      <c r="G5" s="175" t="s">
        <v>63</v>
      </c>
      <c r="H5" s="65"/>
    </row>
    <row r="6" spans="1:8" ht="36" customHeight="1">
      <c r="A6" s="1">
        <v>5</v>
      </c>
      <c r="B6" s="161"/>
      <c r="C6" s="51"/>
      <c r="D6" s="51"/>
      <c r="E6" s="51"/>
      <c r="F6" s="51"/>
      <c r="G6" s="175" t="s">
        <v>63</v>
      </c>
      <c r="H6" s="65"/>
    </row>
    <row r="7" spans="1:8" ht="36" customHeight="1">
      <c r="A7" s="1">
        <v>6</v>
      </c>
      <c r="B7" s="161"/>
      <c r="C7" s="51"/>
      <c r="D7" s="51"/>
      <c r="E7" s="51"/>
      <c r="F7" s="51"/>
      <c r="G7" s="175" t="s">
        <v>63</v>
      </c>
      <c r="H7" s="65"/>
    </row>
    <row r="8" spans="1:8" ht="36" customHeight="1">
      <c r="A8" s="1">
        <v>7</v>
      </c>
      <c r="B8" s="161"/>
      <c r="C8" s="51"/>
      <c r="D8" s="50"/>
      <c r="E8" s="50"/>
      <c r="F8" s="51"/>
      <c r="G8" s="175" t="s">
        <v>63</v>
      </c>
      <c r="H8" s="65"/>
    </row>
    <row r="9" spans="1:8" ht="36" customHeight="1">
      <c r="A9" s="1">
        <v>8</v>
      </c>
      <c r="B9" s="161"/>
      <c r="C9" s="51"/>
      <c r="D9" s="50"/>
      <c r="E9" s="50"/>
      <c r="F9" s="51"/>
      <c r="G9" s="175" t="s">
        <v>63</v>
      </c>
      <c r="H9" s="65"/>
    </row>
    <row r="10" spans="1:8" ht="36" customHeight="1">
      <c r="A10" s="1">
        <v>9</v>
      </c>
      <c r="B10" s="161"/>
      <c r="C10" s="51"/>
      <c r="D10" s="50"/>
      <c r="E10" s="50"/>
      <c r="F10" s="51"/>
      <c r="G10" s="175" t="s">
        <v>63</v>
      </c>
      <c r="H10" s="65"/>
    </row>
    <row r="11" spans="1:8" ht="36" customHeight="1">
      <c r="A11" s="4">
        <v>10</v>
      </c>
      <c r="B11" s="161"/>
      <c r="C11" s="51"/>
      <c r="D11" s="50"/>
      <c r="E11" s="50"/>
      <c r="F11" s="51"/>
      <c r="G11" s="175" t="s">
        <v>63</v>
      </c>
      <c r="H11" s="65"/>
    </row>
    <row r="12" spans="1:8" ht="36" customHeight="1">
      <c r="B12" s="4" t="s">
        <v>68</v>
      </c>
      <c r="C12" s="6">
        <f>SUM(C2:C11)</f>
        <v>0</v>
      </c>
      <c r="D12" s="6">
        <f>SUM(D2:D11)</f>
        <v>0</v>
      </c>
      <c r="E12" s="6">
        <f>SUM(E2:E11)</f>
        <v>0</v>
      </c>
      <c r="F12" s="6">
        <f>SUM(F2:F11)</f>
        <v>0</v>
      </c>
      <c r="G12" s="135"/>
    </row>
    <row r="13" spans="1:8" ht="27" customHeight="1">
      <c r="G13" s="136"/>
    </row>
  </sheetData>
  <customSheetViews>
    <customSheetView guid="{6F922FB1-F68A-46DE-A607-10E765F3DA60}" scale="90" showPageBreaks="1" fitToPage="1">
      <pane xSplit="2" ySplit="1" topLeftCell="C2" activePane="bottomRight" state="frozen"/>
      <selection pane="bottomRight" activeCell="B2" sqref="B2"/>
      <pageMargins left="0.78740157480314965" right="0.78740157480314965" top="1.5748031496062993" bottom="0.78740157480314965" header="1.1811023622047245" footer="0.51181102362204722"/>
      <pageSetup paperSize="9" scale="94" fitToHeight="0" orientation="landscape" horizontalDpi="4294967293" verticalDpi="4294967293" r:id="rId1"/>
      <headerFooter alignWithMargins="0">
        <oddHeader>&amp;C&amp;"ＭＳ Ｐ明朝,太字"&amp;14⑮　過払金目録</oddHeader>
        <oddFooter>&amp;R&amp;"ＭＳ Ｐ明朝,標準"ver.3.0</oddFooter>
      </headerFooter>
    </customSheetView>
    <customSheetView guid="{3B0C33F4-61B3-4DD1-861F-A18C21F5A24B}" scale="90" showPageBreaks="1" fitToPage="1">
      <pane xSplit="2" ySplit="1" topLeftCell="C5" activePane="bottomRight" state="frozen"/>
      <selection pane="bottomRight" activeCell="G17" sqref="G17"/>
      <pageMargins left="0.78740157480314965" right="0.78740157480314965" top="1.5748031496062993" bottom="0.78740157480314965" header="1.1811023622047245" footer="0.51181102362204722"/>
      <pageSetup paperSize="9" scale="94" fitToHeight="0" orientation="landscape" horizontalDpi="4294967293" verticalDpi="4294967293" r:id="rId2"/>
      <headerFooter alignWithMargins="0">
        <oddHeader>&amp;C&amp;"ＭＳ Ｐ明朝,太字"&amp;14⑭　過払金目録</oddHeader>
        <oddFooter>&amp;R&amp;"ＭＳ Ｐ明朝,標準"ver.4.0</oddFooter>
      </headerFooter>
    </customSheetView>
    <customSheetView guid="{A40A9BDD-82B7-45A5-8C28-2E6774722F71}" scale="90" fitToPage="1">
      <pane xSplit="2" ySplit="1" topLeftCell="C2" activePane="bottomRight" state="frozen"/>
      <selection pane="bottomRight" activeCell="B2" sqref="B2"/>
      <pageMargins left="0.78740157480314965" right="0.78740157480314965" top="1.5748031496062993" bottom="0.78740157480314965" header="1.1811023622047245" footer="0.51181102362204722"/>
      <pageSetup paperSize="9" scale="94" fitToHeight="0" orientation="landscape" horizontalDpi="4294967293" verticalDpi="4294967293" r:id="rId3"/>
      <headerFooter alignWithMargins="0">
        <oddHeader>&amp;C&amp;"ＭＳ Ｐ明朝,太字"&amp;14⑮　過払金目録</oddHeader>
        <oddFooter>&amp;R&amp;"ＭＳ Ｐ明朝,標準"ver.3.0</oddFooter>
      </headerFooter>
    </customSheetView>
  </customSheetViews>
  <phoneticPr fontId="6"/>
  <dataValidations count="2">
    <dataValidation imeMode="off" allowBlank="1" showInputMessage="1" showErrorMessage="1" sqref="G14:G65536 A1:A1048576 C3 G1 D1:F1048576 I1:IV1048576 H1 H12:H1048576"/>
    <dataValidation imeMode="on" allowBlank="1" showInputMessage="1" showErrorMessage="1" sqref="C4:C12 B13:C65536 B1:B11 C1:C2 G2:G13 H2:H11"/>
  </dataValidations>
  <pageMargins left="0.78740157480314965" right="0.78740157480314965" top="1.5748031496062993" bottom="0.78740157480314965" header="1.1811023622047245" footer="0.51181102362204722"/>
  <pageSetup paperSize="9" scale="94" fitToHeight="0" orientation="landscape" horizontalDpi="4294967293" verticalDpi="4294967293" r:id="rId4"/>
  <headerFooter alignWithMargins="0">
    <oddHeader>&amp;C&amp;"ＭＳ Ｐ明朝,太字"&amp;14⑭　過払金目録</oddHeader>
    <oddFooter>&amp;C&amp;P&amp;R&amp;"ＭＳ Ｐ明朝,標準"ver.4.0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G14"/>
  <sheetViews>
    <sheetView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1.75" style="2" customWidth="1"/>
    <col min="3" max="3" width="7" style="2" customWidth="1"/>
    <col min="4" max="4" width="33.125" style="2" customWidth="1"/>
    <col min="5" max="6" width="23" style="19" customWidth="1"/>
    <col min="7" max="7" width="40.75" style="15" customWidth="1"/>
    <col min="8" max="16384" width="27" style="15"/>
  </cols>
  <sheetData>
    <row r="1" spans="1:7" s="88" customFormat="1" ht="32.25" customHeight="1" thickBot="1">
      <c r="A1" s="103" t="s">
        <v>67</v>
      </c>
      <c r="B1" s="106" t="s">
        <v>73</v>
      </c>
      <c r="C1" s="106" t="s">
        <v>49</v>
      </c>
      <c r="D1" s="103" t="s">
        <v>33</v>
      </c>
      <c r="E1" s="105" t="s">
        <v>64</v>
      </c>
      <c r="F1" s="105" t="s">
        <v>48</v>
      </c>
      <c r="G1" s="103" t="s">
        <v>20</v>
      </c>
    </row>
    <row r="2" spans="1:7" ht="36" customHeight="1" thickTop="1">
      <c r="A2" s="1">
        <v>1</v>
      </c>
      <c r="B2" s="190"/>
      <c r="C2" s="1"/>
      <c r="D2" s="190"/>
      <c r="E2" s="51"/>
      <c r="F2" s="51"/>
      <c r="G2" s="190"/>
    </row>
    <row r="3" spans="1:7" ht="36" customHeight="1">
      <c r="A3" s="4">
        <v>2</v>
      </c>
      <c r="B3" s="65"/>
      <c r="C3" s="4"/>
      <c r="D3" s="65"/>
      <c r="E3" s="50"/>
      <c r="F3" s="51"/>
      <c r="G3" s="190"/>
    </row>
    <row r="4" spans="1:7" ht="36" customHeight="1">
      <c r="A4" s="4">
        <v>3</v>
      </c>
      <c r="B4" s="65"/>
      <c r="C4" s="4"/>
      <c r="D4" s="65"/>
      <c r="E4" s="50"/>
      <c r="F4" s="51"/>
      <c r="G4" s="65"/>
    </row>
    <row r="5" spans="1:7" ht="36" customHeight="1">
      <c r="A5" s="4">
        <v>4</v>
      </c>
      <c r="B5" s="65"/>
      <c r="C5" s="4"/>
      <c r="D5" s="65"/>
      <c r="E5" s="50"/>
      <c r="F5" s="51"/>
      <c r="G5" s="65"/>
    </row>
    <row r="6" spans="1:7" ht="36" customHeight="1">
      <c r="A6" s="4">
        <v>5</v>
      </c>
      <c r="B6" s="65"/>
      <c r="C6" s="4"/>
      <c r="D6" s="66"/>
      <c r="E6" s="50"/>
      <c r="F6" s="51"/>
      <c r="G6" s="65"/>
    </row>
    <row r="7" spans="1:7" ht="36" customHeight="1">
      <c r="A7" s="4">
        <v>6</v>
      </c>
      <c r="B7" s="145"/>
      <c r="C7" s="9"/>
      <c r="D7" s="145"/>
      <c r="E7" s="157"/>
      <c r="F7" s="51"/>
      <c r="G7" s="145"/>
    </row>
    <row r="8" spans="1:7" ht="36" customHeight="1">
      <c r="A8" s="4">
        <v>7</v>
      </c>
      <c r="B8" s="145"/>
      <c r="C8" s="9"/>
      <c r="D8" s="145"/>
      <c r="E8" s="157"/>
      <c r="F8" s="51"/>
      <c r="G8" s="145"/>
    </row>
    <row r="9" spans="1:7" ht="36" customHeight="1">
      <c r="A9" s="4">
        <v>8</v>
      </c>
      <c r="B9" s="145"/>
      <c r="C9" s="9"/>
      <c r="D9" s="145"/>
      <c r="E9" s="157"/>
      <c r="F9" s="51"/>
      <c r="G9" s="145"/>
    </row>
    <row r="10" spans="1:7" ht="36" customHeight="1">
      <c r="A10" s="4">
        <v>9</v>
      </c>
      <c r="B10" s="145"/>
      <c r="C10" s="9"/>
      <c r="D10" s="145"/>
      <c r="E10" s="157"/>
      <c r="F10" s="51"/>
      <c r="G10" s="145"/>
    </row>
    <row r="11" spans="1:7" ht="36" customHeight="1">
      <c r="A11" s="4">
        <v>10</v>
      </c>
      <c r="B11" s="145"/>
      <c r="C11" s="9"/>
      <c r="D11" s="145"/>
      <c r="E11" s="157"/>
      <c r="F11" s="51"/>
      <c r="G11" s="145"/>
    </row>
    <row r="12" spans="1:7" ht="36" customHeight="1">
      <c r="A12" s="4">
        <v>11</v>
      </c>
      <c r="B12" s="145"/>
      <c r="C12" s="9"/>
      <c r="D12" s="145"/>
      <c r="E12" s="157"/>
      <c r="F12" s="51"/>
      <c r="G12" s="145"/>
    </row>
    <row r="13" spans="1:7" ht="36" customHeight="1">
      <c r="A13" s="4">
        <v>12</v>
      </c>
      <c r="B13" s="65"/>
      <c r="C13" s="4"/>
      <c r="D13" s="65"/>
      <c r="E13" s="50"/>
      <c r="F13" s="51"/>
      <c r="G13" s="65"/>
    </row>
    <row r="14" spans="1:7" ht="36" customHeight="1">
      <c r="D14" s="4" t="s">
        <v>68</v>
      </c>
      <c r="E14" s="18">
        <f>SUM(E2:E13)</f>
        <v>0</v>
      </c>
      <c r="F14" s="18">
        <f>SUM(F2:F13)</f>
        <v>0</v>
      </c>
    </row>
  </sheetData>
  <customSheetViews>
    <customSheetView guid="{6F922FB1-F68A-46DE-A607-10E765F3DA60}" scale="75" showPageBreaks="1" fitToPage="1">
      <pane xSplit="2" ySplit="1" topLeftCell="C2" activePane="bottomRight" state="frozen"/>
      <selection pane="bottomRight" activeCell="B2" sqref="B2:G2"/>
      <colBreaks count="4" manualBreakCount="4">
        <brk id="7" max="1048575" man="1"/>
        <brk id="12" max="1048575" man="1"/>
        <brk id="17" max="1048575" man="1"/>
        <brk id="22" max="1048575" man="1"/>
      </colBreaks>
      <pageMargins left="0.78740157480314965" right="0.78740157480314965" top="1.5748031496062993" bottom="0.78740157480314965" header="1.1811023622047245" footer="0.51181102362204722"/>
      <pageSetup paperSize="9" scale="85" fitToHeight="0" orientation="landscape" horizontalDpi="4294967293" verticalDpi="4294967293" r:id="rId1"/>
      <headerFooter alignWithMargins="0">
        <oddHeader>&amp;C&amp;"ＭＳ Ｐ明朝,太字"&amp;14⑯　その他の財産目録</oddHeader>
        <oddFooter>&amp;R&amp;"ＭＳ Ｐ明朝,標準"ver.3.0</oddFooter>
      </headerFooter>
    </customSheetView>
    <customSheetView guid="{3B0C33F4-61B3-4DD1-861F-A18C21F5A24B}" scale="75" showPageBreaks="1" fitToPage="1">
      <pane xSplit="2" ySplit="1" topLeftCell="C2" activePane="bottomRight" state="frozen"/>
      <selection pane="bottomRight" activeCell="G17" sqref="G17"/>
      <colBreaks count="4" manualBreakCount="4">
        <brk id="7" max="1048575" man="1"/>
        <brk id="12" max="1048575" man="1"/>
        <brk id="17" max="1048575" man="1"/>
        <brk id="22" max="1048575" man="1"/>
      </colBreaks>
      <pageMargins left="0.78740157480314965" right="0.78740157480314965" top="1.5748031496062993" bottom="0.78740157480314965" header="1.1811023622047245" footer="0.51181102362204722"/>
      <pageSetup paperSize="9" scale="85" fitToHeight="0" orientation="landscape" horizontalDpi="4294967293" verticalDpi="4294967293" r:id="rId2"/>
      <headerFooter alignWithMargins="0">
        <oddHeader>&amp;C&amp;"ＭＳ Ｐ明朝,太字"&amp;14⑮　その他の財産目録</oddHeader>
        <oddFooter>&amp;R&amp;"ＭＳ Ｐ明朝,標準"ver.4.0</oddFooter>
      </headerFooter>
    </customSheetView>
    <customSheetView guid="{A40A9BDD-82B7-45A5-8C28-2E6774722F71}" scale="75" fitToPage="1">
      <pane xSplit="2" ySplit="1" topLeftCell="C2" activePane="bottomRight" state="frozen"/>
      <selection pane="bottomRight" activeCell="G17" sqref="G17"/>
      <colBreaks count="4" manualBreakCount="4">
        <brk id="7" max="1048575" man="1"/>
        <brk id="12" max="1048575" man="1"/>
        <brk id="17" max="1048575" man="1"/>
        <brk id="22" max="1048575" man="1"/>
      </colBreaks>
      <pageMargins left="0.78740157480314965" right="0.78740157480314965" top="1.5748031496062993" bottom="0.78740157480314965" header="1.1811023622047245" footer="0.51181102362204722"/>
      <pageSetup paperSize="9" scale="85" fitToHeight="0" orientation="landscape" horizontalDpi="4294967293" verticalDpi="4294967293" r:id="rId3"/>
      <headerFooter alignWithMargins="0">
        <oddHeader>&amp;C&amp;"ＭＳ Ｐ明朝,太字"&amp;14⑯　その他の財産目録</oddHeader>
        <oddFooter>&amp;R&amp;"ＭＳ Ｐ明朝,標準"ver.3.0</oddFooter>
      </headerFooter>
    </customSheetView>
  </customSheetViews>
  <phoneticPr fontId="6"/>
  <conditionalFormatting sqref="F2:F13">
    <cfRule type="expression" dxfId="0" priority="1" stopIfTrue="1">
      <formula>ISBLANK($E2)</formula>
    </cfRule>
  </conditionalFormatting>
  <dataValidations count="2">
    <dataValidation imeMode="off" allowBlank="1" showInputMessage="1" showErrorMessage="1" sqref="H1:IV1048576 C1:C1048576 A1:A1048576 E1:F1048576"/>
    <dataValidation imeMode="on" allowBlank="1" showInputMessage="1" showErrorMessage="1" sqref="D1:D1048576 G1:G1048576 B1:B1048576"/>
  </dataValidations>
  <pageMargins left="0.78740157480314965" right="0.78740157480314965" top="1.5748031496062993" bottom="0.78740157480314965" header="1.1811023622047245" footer="0.51181102362204722"/>
  <pageSetup paperSize="9" scale="85" fitToHeight="0" orientation="landscape" horizontalDpi="4294967293" verticalDpi="4294967293" r:id="rId4"/>
  <headerFooter alignWithMargins="0">
    <oddHeader>&amp;C&amp;"ＭＳ Ｐ明朝,太字"&amp;14⑮　その他の財産目録</oddHeader>
    <oddFooter>&amp;C&amp;P&amp;R&amp;"ＭＳ Ｐ明朝,標準"ver.4.0</oddFooter>
  </headerFooter>
  <colBreaks count="4" manualBreakCount="4">
    <brk id="7" max="1048575" man="1"/>
    <brk id="12" max="1048575" man="1"/>
    <brk id="17" max="1048575" man="1"/>
    <brk id="2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H22"/>
  <sheetViews>
    <sheetView zoomScale="90" zoomScaleNormal="90" workbookViewId="0">
      <pane xSplit="2" ySplit="2" topLeftCell="C3" activePane="bottomRight" state="frozen"/>
      <selection pane="topRight" activeCell="C1" sqref="C1"/>
      <selection pane="bottomLeft" activeCell="A3" sqref="A3"/>
      <selection pane="bottomRight" activeCell="B3" sqref="B3"/>
    </sheetView>
  </sheetViews>
  <sheetFormatPr defaultRowHeight="24" customHeight="1"/>
  <cols>
    <col min="1" max="1" width="5.25" style="76" bestFit="1" customWidth="1"/>
    <col min="2" max="2" width="39.625" style="76" customWidth="1"/>
    <col min="3" max="4" width="5" style="99" customWidth="1"/>
    <col min="5" max="5" width="16.75" style="82" customWidth="1"/>
    <col min="6" max="6" width="20.375" style="83" customWidth="1"/>
    <col min="7" max="7" width="65.5" style="84" customWidth="1"/>
    <col min="8" max="8" width="8.375" style="77" customWidth="1"/>
    <col min="9" max="9" width="7.625" style="76" customWidth="1"/>
    <col min="10" max="10" width="5.875" style="76" customWidth="1"/>
    <col min="11" max="11" width="6.25" style="76" customWidth="1"/>
    <col min="12" max="16384" width="9" style="76"/>
  </cols>
  <sheetData>
    <row r="1" spans="1:8" ht="52.5" customHeight="1">
      <c r="A1" s="97" t="s">
        <v>72</v>
      </c>
      <c r="B1" s="208" t="s">
        <v>112</v>
      </c>
      <c r="C1" s="208"/>
      <c r="D1" s="208"/>
      <c r="E1" s="208"/>
      <c r="F1" s="208"/>
      <c r="G1" s="208"/>
    </row>
    <row r="2" spans="1:8" s="78" customFormat="1" ht="36" customHeight="1" thickBot="1">
      <c r="A2" s="103" t="s">
        <v>67</v>
      </c>
      <c r="B2" s="90" t="s">
        <v>74</v>
      </c>
      <c r="C2" s="98" t="s">
        <v>77</v>
      </c>
      <c r="D2" s="98" t="s">
        <v>76</v>
      </c>
      <c r="E2" s="91" t="s">
        <v>95</v>
      </c>
      <c r="F2" s="92" t="s">
        <v>51</v>
      </c>
      <c r="G2" s="93" t="s">
        <v>75</v>
      </c>
    </row>
    <row r="3" spans="1:8" s="78" customFormat="1" ht="36" customHeight="1" thickTop="1">
      <c r="A3" s="79">
        <v>1</v>
      </c>
      <c r="B3" s="188"/>
      <c r="C3" s="175" t="s">
        <v>82</v>
      </c>
      <c r="D3" s="175" t="s">
        <v>63</v>
      </c>
      <c r="E3" s="133"/>
      <c r="F3" s="173"/>
      <c r="G3" s="148"/>
    </row>
    <row r="4" spans="1:8" s="78" customFormat="1" ht="36" customHeight="1">
      <c r="A4" s="80">
        <v>2</v>
      </c>
      <c r="B4" s="188"/>
      <c r="C4" s="175" t="s">
        <v>110</v>
      </c>
      <c r="D4" s="175" t="s">
        <v>102</v>
      </c>
      <c r="E4" s="133"/>
      <c r="F4" s="173"/>
      <c r="G4" s="148"/>
    </row>
    <row r="5" spans="1:8" ht="36" customHeight="1">
      <c r="A5" s="80">
        <v>3</v>
      </c>
      <c r="B5" s="188"/>
      <c r="C5" s="175" t="s">
        <v>63</v>
      </c>
      <c r="D5" s="175" t="s">
        <v>63</v>
      </c>
      <c r="E5" s="133"/>
      <c r="F5" s="173"/>
      <c r="G5" s="148"/>
      <c r="H5" s="76"/>
    </row>
    <row r="6" spans="1:8" ht="36" customHeight="1">
      <c r="A6" s="80">
        <v>4</v>
      </c>
      <c r="B6" s="188"/>
      <c r="C6" s="175" t="s">
        <v>63</v>
      </c>
      <c r="D6" s="175" t="s">
        <v>63</v>
      </c>
      <c r="E6" s="133"/>
      <c r="F6" s="173"/>
      <c r="G6" s="148"/>
      <c r="H6" s="76"/>
    </row>
    <row r="7" spans="1:8" ht="36" customHeight="1">
      <c r="A7" s="80">
        <v>5</v>
      </c>
      <c r="B7" s="188"/>
      <c r="C7" s="175" t="s">
        <v>63</v>
      </c>
      <c r="D7" s="175" t="s">
        <v>63</v>
      </c>
      <c r="E7" s="133"/>
      <c r="F7" s="173"/>
      <c r="G7" s="148"/>
      <c r="H7" s="76"/>
    </row>
    <row r="8" spans="1:8" ht="36" customHeight="1">
      <c r="A8" s="80">
        <v>6</v>
      </c>
      <c r="B8" s="189"/>
      <c r="C8" s="175" t="s">
        <v>63</v>
      </c>
      <c r="D8" s="175" t="s">
        <v>63</v>
      </c>
      <c r="E8" s="134"/>
      <c r="F8" s="174"/>
      <c r="G8" s="148"/>
      <c r="H8" s="76"/>
    </row>
    <row r="9" spans="1:8" ht="36" customHeight="1">
      <c r="A9" s="80">
        <v>7</v>
      </c>
      <c r="B9" s="189"/>
      <c r="C9" s="175" t="s">
        <v>63</v>
      </c>
      <c r="D9" s="175" t="s">
        <v>63</v>
      </c>
      <c r="E9" s="134"/>
      <c r="F9" s="174"/>
      <c r="G9" s="148"/>
      <c r="H9" s="76"/>
    </row>
    <row r="10" spans="1:8" ht="36" customHeight="1">
      <c r="A10" s="80">
        <v>8</v>
      </c>
      <c r="B10" s="189"/>
      <c r="C10" s="175" t="s">
        <v>63</v>
      </c>
      <c r="D10" s="175" t="s">
        <v>63</v>
      </c>
      <c r="E10" s="134"/>
      <c r="F10" s="174"/>
      <c r="G10" s="148"/>
      <c r="H10" s="76"/>
    </row>
    <row r="11" spans="1:8" ht="36" customHeight="1">
      <c r="A11" s="80">
        <v>9</v>
      </c>
      <c r="B11" s="189"/>
      <c r="C11" s="175" t="s">
        <v>63</v>
      </c>
      <c r="D11" s="175" t="s">
        <v>63</v>
      </c>
      <c r="E11" s="134"/>
      <c r="F11" s="174"/>
      <c r="G11" s="148"/>
      <c r="H11" s="76"/>
    </row>
    <row r="12" spans="1:8" ht="36" customHeight="1">
      <c r="A12" s="80">
        <v>10</v>
      </c>
      <c r="B12" s="189"/>
      <c r="C12" s="175" t="s">
        <v>63</v>
      </c>
      <c r="D12" s="175" t="s">
        <v>63</v>
      </c>
      <c r="E12" s="134"/>
      <c r="F12" s="174"/>
      <c r="G12" s="148"/>
      <c r="H12" s="76"/>
    </row>
    <row r="13" spans="1:8" ht="36" customHeight="1">
      <c r="A13" s="80">
        <v>11</v>
      </c>
      <c r="B13" s="189"/>
      <c r="C13" s="175" t="s">
        <v>63</v>
      </c>
      <c r="D13" s="175" t="s">
        <v>63</v>
      </c>
      <c r="E13" s="134"/>
      <c r="F13" s="174"/>
      <c r="G13" s="148"/>
      <c r="H13" s="76"/>
    </row>
    <row r="14" spans="1:8" ht="36" customHeight="1">
      <c r="A14" s="80">
        <v>12</v>
      </c>
      <c r="B14" s="189"/>
      <c r="C14" s="175" t="s">
        <v>63</v>
      </c>
      <c r="D14" s="175" t="s">
        <v>63</v>
      </c>
      <c r="E14" s="134"/>
      <c r="F14" s="174"/>
      <c r="G14" s="148"/>
      <c r="H14" s="76"/>
    </row>
    <row r="15" spans="1:8" ht="24" customHeight="1">
      <c r="A15" s="81"/>
      <c r="B15" s="81"/>
    </row>
    <row r="16" spans="1:8" ht="24" customHeight="1">
      <c r="A16" s="81"/>
      <c r="B16" s="81"/>
    </row>
    <row r="17" spans="1:2" ht="24" customHeight="1">
      <c r="A17" s="81"/>
      <c r="B17" s="81"/>
    </row>
    <row r="18" spans="1:2" ht="24" customHeight="1">
      <c r="A18" s="81"/>
      <c r="B18" s="81"/>
    </row>
    <row r="19" spans="1:2" ht="24" customHeight="1">
      <c r="A19" s="81"/>
      <c r="B19" s="81"/>
    </row>
    <row r="20" spans="1:2" ht="24" customHeight="1">
      <c r="A20" s="81"/>
      <c r="B20" s="81"/>
    </row>
    <row r="21" spans="1:2" ht="24" customHeight="1">
      <c r="A21" s="81"/>
      <c r="B21" s="81"/>
    </row>
    <row r="22" spans="1:2" ht="24" customHeight="1">
      <c r="A22" s="81"/>
      <c r="B22" s="81"/>
    </row>
  </sheetData>
  <customSheetViews>
    <customSheetView guid="{6F922FB1-F68A-46DE-A607-10E765F3DA60}" scale="90" showPageBreaks="1" fitToPage="1">
      <pane xSplit="2" ySplit="2" topLeftCell="C3" activePane="bottomRight" state="frozen"/>
      <selection pane="bottomRight" activeCell="G5" sqref="G5:G14"/>
      <pageMargins left="0.78740157480314965" right="0.78740157480314965" top="1.5748031496062993" bottom="0.78740157480314965" header="1.1811023622047245" footer="0.51181102362204722"/>
      <printOptions horizontalCentered="1"/>
      <pageSetup paperSize="9" scale="83" fitToHeight="0" orientation="landscape" horizontalDpi="360" verticalDpi="360" r:id="rId1"/>
      <headerFooter alignWithMargins="0">
        <oddHeader>&amp;C&amp;"ＭＳ Ｐ明朝,太字"&amp;14⑰　最終の決算書に記載されており，かつ申立書の財産目録に記載のない財産についての処分状況等一覧表</oddHeader>
        <oddFooter>&amp;R&amp;"ＭＳ Ｐ明朝,標準"ver.3.0</oddFooter>
      </headerFooter>
    </customSheetView>
    <customSheetView guid="{3B0C33F4-61B3-4DD1-861F-A18C21F5A24B}" scale="90" showPageBreaks="1" fitToPage="1">
      <pane xSplit="2" ySplit="2" topLeftCell="C9" activePane="bottomRight" state="frozen"/>
      <selection pane="bottomRight" activeCell="G17" sqref="G17"/>
      <pageMargins left="0.78740157480314965" right="0.78740157480314965" top="1.5748031496062993" bottom="0.78740157480314965" header="1.1811023622047245" footer="0.51181102362204722"/>
      <pageSetup paperSize="9" scale="83" fitToHeight="0" orientation="landscape" horizontalDpi="360" verticalDpi="360" r:id="rId2"/>
      <headerFooter alignWithMargins="0">
        <oddHeader>&amp;C&amp;"ＭＳ Ｐ明朝,太字"&amp;14⑯　最終の決算書に記載されており，かつ申立書の財産目録に記載のない財産についての処分状況等一覧表</oddHeader>
        <oddFooter>&amp;R&amp;"ＭＳ Ｐ明朝,標準"ver.4.0</oddFooter>
      </headerFooter>
    </customSheetView>
    <customSheetView guid="{A40A9BDD-82B7-45A5-8C28-2E6774722F71}" scale="90" fitToPage="1">
      <pane xSplit="2" ySplit="2" topLeftCell="C3" activePane="bottomRight" state="frozen"/>
      <selection pane="bottomRight" activeCell="E3" sqref="E3"/>
      <pageMargins left="0.78740157480314965" right="0.78740157480314965" top="1.5748031496062993" bottom="0.78740157480314965" header="1.1811023622047245" footer="0.51181102362204722"/>
      <printOptions horizontalCentered="1"/>
      <pageSetup paperSize="9" scale="83" fitToHeight="0" orientation="landscape" horizontalDpi="360" verticalDpi="360" r:id="rId3"/>
      <headerFooter alignWithMargins="0">
        <oddHeader>&amp;C&amp;"ＭＳ Ｐ明朝,太字"&amp;14⑰　最終の決算書に記載されており，かつ申立書の財産目録に記載のない財産についての処分状況等一覧表</oddHeader>
        <oddFooter>&amp;R&amp;"ＭＳ Ｐ明朝,標準"ver.3.0</oddFooter>
      </headerFooter>
    </customSheetView>
  </customSheetViews>
  <mergeCells count="1">
    <mergeCell ref="B1:G1"/>
  </mergeCells>
  <phoneticPr fontId="3"/>
  <dataValidations count="2">
    <dataValidation imeMode="on" allowBlank="1" showInputMessage="1" showErrorMessage="1" sqref="H1:IV1048576 G2:G65536 C2:D65536 B1:B1048576"/>
    <dataValidation imeMode="off" allowBlank="1" showInputMessage="1" showErrorMessage="1" sqref="A1:A1048576 E2:F65536"/>
  </dataValidations>
  <printOptions horizontalCentered="1"/>
  <pageMargins left="0.78740157480314965" right="0.78740157480314965" top="1.5748031496062993" bottom="0.78740157480314965" header="1.1811023622047245" footer="0.51181102362204722"/>
  <pageSetup paperSize="9" scale="83" fitToHeight="0" orientation="landscape" horizontalDpi="360" verticalDpi="360" r:id="rId4"/>
  <headerFooter alignWithMargins="0">
    <oddHeader>&amp;C&amp;"ＭＳ Ｐ明朝,太字"&amp;14⑯　最終の決算書に記載されており，かつ申立書の財産目録に記載のない財産についての処分状況等一覧表</oddHeader>
    <oddFooter>&amp;C&amp;P&amp;R&amp;"ＭＳ Ｐ明朝,標準"ver.4.0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15</vt:i4>
      </vt:variant>
    </vt:vector>
  </HeadingPairs>
  <TitlesOfParts>
    <vt:vector size="31" baseType="lpstr">
      <vt:lpstr>116_総括表</vt:lpstr>
      <vt:lpstr>117 _預貯金</vt:lpstr>
      <vt:lpstr>118_手形・小切手</vt:lpstr>
      <vt:lpstr>119_売掛金</vt:lpstr>
      <vt:lpstr>120_在庫商品</vt:lpstr>
      <vt:lpstr>121_貸付金</vt:lpstr>
      <vt:lpstr>122_不動産</vt:lpstr>
      <vt:lpstr>123_機械・工具類</vt:lpstr>
      <vt:lpstr>124_什器備品</vt:lpstr>
      <vt:lpstr>125_自動車</vt:lpstr>
      <vt:lpstr>126_有価証券</vt:lpstr>
      <vt:lpstr>127_賃借保証金・敷金</vt:lpstr>
      <vt:lpstr>128_保険</vt:lpstr>
      <vt:lpstr>129_過払金</vt:lpstr>
      <vt:lpstr>130_その他</vt:lpstr>
      <vt:lpstr>131_処分済財産</vt:lpstr>
      <vt:lpstr>'117 _預貯金'!Print_Titles</vt:lpstr>
      <vt:lpstr>'118_手形・小切手'!Print_Titles</vt:lpstr>
      <vt:lpstr>'119_売掛金'!Print_Titles</vt:lpstr>
      <vt:lpstr>'120_在庫商品'!Print_Titles</vt:lpstr>
      <vt:lpstr>'121_貸付金'!Print_Titles</vt:lpstr>
      <vt:lpstr>'122_不動産'!Print_Titles</vt:lpstr>
      <vt:lpstr>'123_機械・工具類'!Print_Titles</vt:lpstr>
      <vt:lpstr>'124_什器備品'!Print_Titles</vt:lpstr>
      <vt:lpstr>'125_自動車'!Print_Titles</vt:lpstr>
      <vt:lpstr>'126_有価証券'!Print_Titles</vt:lpstr>
      <vt:lpstr>'127_賃借保証金・敷金'!Print_Titles</vt:lpstr>
      <vt:lpstr>'128_保険'!Print_Titles</vt:lpstr>
      <vt:lpstr>'129_過払金'!Print_Titles</vt:lpstr>
      <vt:lpstr>'130_その他'!Print_Titles</vt:lpstr>
      <vt:lpstr>'131_処分済財産'!Print_Titles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cp:lastPrinted>2019-07-18T07:41:19Z</cp:lastPrinted>
  <dcterms:created xsi:type="dcterms:W3CDTF">2001-10-01T02:43:36Z</dcterms:created>
  <dcterms:modified xsi:type="dcterms:W3CDTF">2019-11-07T00:45:26Z</dcterms:modified>
  <cp:category>管財申立て</cp:category>
</cp:coreProperties>
</file>